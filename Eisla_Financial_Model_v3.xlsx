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lossary" sheetId="2" state="visible" r:id="rId4"/>
    <sheet name="Realistic Assumptions" sheetId="3" state="visible" r:id="rId5"/>
    <sheet name="Unit Economics" sheetId="4" state="visible" r:id="rId6"/>
    <sheet name="Pessimistic P&amp;L" sheetId="5" state="visible" r:id="rId7"/>
    <sheet name="Realistic Y1 Monthly" sheetId="6" state="visible" r:id="rId8"/>
    <sheet name="Realistic P&amp;L" sheetId="7" state="visible" r:id="rId9"/>
    <sheet name="Optimistic Assumptions" sheetId="8" state="visible" r:id="rId10"/>
    <sheet name="Optimistic P&amp;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<sst xmlns="http://schemas.openxmlformats.org/spreadsheetml/2006/main" count="683" uniqueCount="456">
  <si>
    <t xml:space="preserve">Eisla — Financial Summary: Three Scenarios</t>
  </si>
  <si>
    <t xml:space="preserve">Same pricing, margins, costs. Only volume differs.</t>
  </si>
  <si>
    <t xml:space="preserve">PESSIMISTIC</t>
  </si>
  <si>
    <t xml:space="preserve">REALISTIC</t>
  </si>
  <si>
    <t xml:space="preserve">OPTIMISTIC</t>
  </si>
  <si>
    <t xml:space="preserve">30% volume</t>
  </si>
  <si>
    <t xml:space="preserve">Base plan</t>
  </si>
  <si>
    <t xml:space="preserve">~2x volume</t>
  </si>
  <si>
    <t xml:space="preserve">YEAR 1 (2026/27)</t>
  </si>
  <si>
    <t xml:space="preserve">Total jobs</t>
  </si>
  <si>
    <t xml:space="preserve">Revenue</t>
  </si>
  <si>
    <t xml:space="preserve">Gross Profit</t>
  </si>
  <si>
    <t xml:space="preserve">Fixed Costs</t>
  </si>
  <si>
    <t xml:space="preserve">Operating Profit</t>
  </si>
  <si>
    <t xml:space="preserve">Operating Margin</t>
  </si>
  <si>
    <t xml:space="preserve">YEAR 2 (2027/28)</t>
  </si>
  <si>
    <t xml:space="preserve">YEAR 3 (2028/29)</t>
  </si>
  <si>
    <t xml:space="preserve">3-YEAR CUMULATIVE</t>
  </si>
  <si>
    <t xml:space="preserve">Total Jobs</t>
  </si>
  <si>
    <t xml:space="preserve">Total Revenue</t>
  </si>
  <si>
    <t xml:space="preserve">Total Operating Profit</t>
  </si>
  <si>
    <t xml:space="preserve">KEY INSIGHT</t>
  </si>
  <si>
    <t xml:space="preserve">Profitable in ALL scenarios, ALL years — but pessimistic Y1 is borderline (£281). Marketing at 12% of revenue is the biggest fixed cost driver.</t>
  </si>
  <si>
    <t xml:space="preserve">UNIT ECONOMICS (same all scenarios)</t>
  </si>
  <si>
    <t xml:space="preserve">Blended design fee</t>
  </si>
  <si>
    <t xml:space="preserve">£599</t>
  </si>
  <si>
    <t xml:space="preserve">Contract engineer cost/job</t>
  </si>
  <si>
    <t xml:space="preserve">£297 (used below breakeven)</t>
  </si>
  <si>
    <t xml:space="preserve">Manufacturing margin</t>
  </si>
  <si>
    <t xml:space="preserve">26%</t>
  </si>
  <si>
    <t xml:space="preserve">Overall gross margin</t>
  </si>
  <si>
    <t xml:space="preserve">37-42%</t>
  </si>
  <si>
    <t xml:space="preserve">FT engineer loaded cost</t>
  </si>
  <si>
    <t xml:space="preserve">£86,250/yr + £2,500 setup</t>
  </si>
  <si>
    <t xml:space="preserve">ENGINEER STAFFING PLAN</t>
  </si>
  <si>
    <t xml:space="preserve">Y1 new design jobs</t>
  </si>
  <si>
    <t xml:space="preserve">Y1 staffing model</t>
  </si>
  <si>
    <t xml:space="preserve">Contract</t>
  </si>
  <si>
    <t xml:space="preserve">1 FT (£89k)</t>
  </si>
  <si>
    <t xml:space="preserve">Y1 engineer cost</t>
  </si>
  <si>
    <t xml:space="preserve">£13k variable</t>
  </si>
  <si>
    <t xml:space="preserve">£43k variable</t>
  </si>
  <si>
    <t xml:space="preserve">£89k loaded</t>
  </si>
  <si>
    <t xml:space="preserve">Y2 new design jobs</t>
  </si>
  <si>
    <t xml:space="preserve">1,023</t>
  </si>
  <si>
    <t xml:space="preserve">Y2 staffing model</t>
  </si>
  <si>
    <t xml:space="preserve">2 FT (£175k)</t>
  </si>
  <si>
    <t xml:space="preserve">Y2 engineer cost</t>
  </si>
  <si>
    <t xml:space="preserve">£50k variable</t>
  </si>
  <si>
    <t xml:space="preserve">£175k loaded</t>
  </si>
  <si>
    <t xml:space="preserve">Y2 saving vs contract</t>
  </si>
  <si>
    <t xml:space="preserve">n/a</t>
  </si>
  <si>
    <t xml:space="preserve">£77k saved</t>
  </si>
  <si>
    <t xml:space="preserve">£129k saved</t>
  </si>
  <si>
    <t xml:space="preserve">Y3 new design jobs</t>
  </si>
  <si>
    <t xml:space="preserve">1,674</t>
  </si>
  <si>
    <t xml:space="preserve">3,348</t>
  </si>
  <si>
    <t xml:space="preserve">Y3 staffing model</t>
  </si>
  <si>
    <t xml:space="preserve">3 FT (£264k)</t>
  </si>
  <si>
    <t xml:space="preserve">6 FT (£528k)</t>
  </si>
  <si>
    <t xml:space="preserve">Y3 engineer cost</t>
  </si>
  <si>
    <t xml:space="preserve">£264k loaded</t>
  </si>
  <si>
    <t xml:space="preserve">£528k loaded</t>
  </si>
  <si>
    <t xml:space="preserve">Y3 saving vs contract</t>
  </si>
  <si>
    <t xml:space="preserve">£60k saved</t>
  </si>
  <si>
    <t xml:space="preserve">£233k saved</t>
  </si>
  <si>
    <t xml:space="preserve">£466k saved</t>
  </si>
  <si>
    <t xml:space="preserve">Loaded cost: salary £70k + employer NI £9,750 (15%) + pension £3,500 (5%) + CPD £1,500 + IT £1,500 = £86,250/yr + £2,500 setup</t>
  </si>
  <si>
    <t xml:space="preserve">Breakeven vs contract (loaded): £86,250 ÷ £297/job = 290 jobs/yr (~25/month). Below = contract, above = employ.</t>
  </si>
  <si>
    <t xml:space="preserve">Hire trigger: 25+ new design jobs/month sustained for 2-3 months.</t>
  </si>
  <si>
    <t xml:space="preserve">MARKETING SPEND (12% of revenue, target 10-15%)</t>
  </si>
  <si>
    <t xml:space="preserve">Y1 marketing</t>
  </si>
  <si>
    <t xml:space="preserve">£4,000</t>
  </si>
  <si>
    <t xml:space="preserve">£13,500</t>
  </si>
  <si>
    <t xml:space="preserve">£24,000</t>
  </si>
  <si>
    <t xml:space="preserve">Y2 marketing</t>
  </si>
  <si>
    <t xml:space="preserve">£16,500</t>
  </si>
  <si>
    <t xml:space="preserve">£55,000</t>
  </si>
  <si>
    <t xml:space="preserve">£100,000</t>
  </si>
  <si>
    <t xml:space="preserve">Y3 marketing</t>
  </si>
  <si>
    <t xml:space="preserve">£50,500</t>
  </si>
  <si>
    <t xml:space="preserve">£168,000</t>
  </si>
  <si>
    <t xml:space="preserve">£331,500</t>
  </si>
  <si>
    <t xml:space="preserve">Channels: Google Ads (long-tail B2B), SEO/content, Reddit/HN, YouTube demos, trade shows (Embedded World), email nurture.</t>
  </si>
  <si>
    <t xml:space="preserve">IT &amp; data: M365 Business Standard (£9.60/user/mo pre-Jul 2026, ~£11 post), cloud storage (Backblaze B2), automated backup.</t>
  </si>
  <si>
    <t xml:space="preserve">No bad debt provision — all payments (design fee + manufacturing) collected upfront via Stripe before work begins.</t>
  </si>
  <si>
    <t xml:space="preserve">Eisla — Glossary of Terms</t>
  </si>
  <si>
    <t xml:space="preserve">Technical and financial terms used in this model, for readers without electronics background.</t>
  </si>
  <si>
    <t xml:space="preserve">TERM</t>
  </si>
  <si>
    <t xml:space="preserve">MEANING</t>
  </si>
  <si>
    <t xml:space="preserve">MCU</t>
  </si>
  <si>
    <t xml:space="preserve">Microcontroller Unit — the 'brain' chip on a circuit board. A tiny computer that runs device software.</t>
  </si>
  <si>
    <t xml:space="preserve">PCB</t>
  </si>
  <si>
    <t xml:space="preserve">Printed Circuit Board — the board that electronic components are soldered onto.</t>
  </si>
  <si>
    <t xml:space="preserve">PCBA</t>
  </si>
  <si>
    <t xml:space="preserve">PCB Assembly — a PCB with all components soldered on, ready to use.</t>
  </si>
  <si>
    <t xml:space="preserve">BGA</t>
  </si>
  <si>
    <t xml:space="preserve">Ball Grid Array — a chip package with solder balls underneath. Complex to route. Eisla EXCLUDES BGA.</t>
  </si>
  <si>
    <t xml:space="preserve">QFN</t>
  </si>
  <si>
    <t xml:space="preserve">Quad Flat No-lead — a chip package with pads on bottom edges. Moderate complexity. Supported in Tier 2/3.</t>
  </si>
  <si>
    <t xml:space="preserve">LQFP</t>
  </si>
  <si>
    <t xml:space="preserve">Low-profile Quad Flat Package — chip with visible legs on all four sides. Common. All tiers.</t>
  </si>
  <si>
    <t xml:space="preserve">DIP / SOIC</t>
  </si>
  <si>
    <t xml:space="preserve">Through-hole and surface-mount packages with visible pins. Simplest. Tier 1 components.</t>
  </si>
  <si>
    <t xml:space="preserve">Gerber files</t>
  </si>
  <si>
    <t xml:space="preserve">Industry-standard manufacturing files sent to PCB factories. Like a blueprint for the board.</t>
  </si>
  <si>
    <t xml:space="preserve">4-layer</t>
  </si>
  <si>
    <t xml:space="preserve">A PCB with 4 copper layers. Standard for microcontroller projects. All Eisla designs are 4-layer.</t>
  </si>
  <si>
    <t xml:space="preserve">ERC / DRC</t>
  </si>
  <si>
    <t xml:space="preserve">Electrical / Design Rules Check — automated validation before manufacturing.</t>
  </si>
  <si>
    <t xml:space="preserve">FreeRouting</t>
  </si>
  <si>
    <t xml:space="preserve">Open-source autorouter software used in Eisla's pipeline to draw copper traces.</t>
  </si>
  <si>
    <t xml:space="preserve">KiCad</t>
  </si>
  <si>
    <t xml:space="preserve">Open-source PCB design software. Eisla generates KiCad-format designs.</t>
  </si>
  <si>
    <t xml:space="preserve">FABRICATION HOUSES</t>
  </si>
  <si>
    <t xml:space="preserve">JLCPCB</t>
  </si>
  <si>
    <t xml:space="preserve">Chinese PCB fab. Cheapest option. 5-7 day build + 3-5 day shipping to UK. Model base case.</t>
  </si>
  <si>
    <t xml:space="preserve">PCBWay</t>
  </si>
  <si>
    <t xml:space="preserve">Chinese PCB fab. Similar pricing to JLCPCB.</t>
  </si>
  <si>
    <t xml:space="preserve">PCBTrain</t>
  </si>
  <si>
    <t xml:space="preserve">UK PCB fab. Higher cost (£280-450 same spec) but faster UK delivery. Same 26% margin applied.</t>
  </si>
  <si>
    <t xml:space="preserve">Eurocircuits</t>
  </si>
  <si>
    <t xml:space="preserve">European PCB fab. Higher quality/cost. For customers wanting EU supply chain.</t>
  </si>
  <si>
    <t xml:space="preserve">FINANCIAL TERMS</t>
  </si>
  <si>
    <t xml:space="preserve">Design fee</t>
  </si>
  <si>
    <t xml:space="preserve">Customer pays Eisla to convert their description into manufacturable Gerber files.</t>
  </si>
  <si>
    <t xml:space="preserve">Mfg margin (26%)</t>
  </si>
  <si>
    <t xml:space="preserve">Markup Eisla adds to the fab's cost. This is on manufacturing ONLY, not the design fee.</t>
  </si>
  <si>
    <t xml:space="preserve">Overall gross margin (37-42%)</t>
  </si>
  <si>
    <t xml:space="preserve">Total revenue minus total variable costs. Higher than 26% because design fee revenue is included.</t>
  </si>
  <si>
    <t xml:space="preserve">Blended</t>
  </si>
  <si>
    <t xml:space="preserve">Weighted average across tiers. E.g. (25% x T1) + (60% x T2) + (15% x T3).</t>
  </si>
  <si>
    <t xml:space="preserve">Variable cost</t>
  </si>
  <si>
    <t xml:space="preserve">Costs that scale with each job (engineer, fab, API). More jobs = more cost.</t>
  </si>
  <si>
    <t xml:space="preserve">Fixed cost</t>
  </si>
  <si>
    <t xml:space="preserve">Costs that stay constant regardless of volume (hosting, insurance, accountancy).</t>
  </si>
  <si>
    <t xml:space="preserve">Contribution</t>
  </si>
  <si>
    <t xml:space="preserve">Revenue minus variable costs in £. What each job contributes toward fixed costs and profit.</t>
  </si>
  <si>
    <t xml:space="preserve">Reorder</t>
  </si>
  <si>
    <t xml:space="preserve">Customer ordering another batch of the SAME board. No new design work. Lower margin (13%).</t>
  </si>
  <si>
    <t xml:space="preserve">Promotional</t>
  </si>
  <si>
    <t xml:space="preserve">Discounted rate (£299 vs £599) for strategic early customers. Capped at 20% Y1, 5% Y2, 0% Y3.</t>
  </si>
  <si>
    <t xml:space="preserve">TIERS — automatically assigned by AI based on customer's description</t>
  </si>
  <si>
    <t xml:space="preserve">Tier 1 (£499)</t>
  </si>
  <si>
    <t xml:space="preserve">Simple: ATmega, STM32F0/F1, ESP8266. Standard packages. No engineer review.</t>
  </si>
  <si>
    <t xml:space="preserve">Tier 2 (£599)</t>
  </si>
  <si>
    <t xml:space="preserve">Mid: ESP32, RP2040, nRF52840, STM32F4. QFN/LQFP. 4hr engineer review. 60% of jobs.</t>
  </si>
  <si>
    <t xml:space="preserve">Tier 3 (£749)</t>
  </si>
  <si>
    <t xml:space="preserve">Complex: STM32H7, i.MX RT LQFP176/208. 6hr engineer review. 15% of jobs.</t>
  </si>
  <si>
    <t xml:space="preserve">Tier 4</t>
  </si>
  <si>
    <t xml:space="preserve">BGA / application processors. OUT OF SCOPE — referred to specialist. Eisla does not handle BGA.</t>
  </si>
  <si>
    <t xml:space="preserve">OTHER</t>
  </si>
  <si>
    <t xml:space="preserve">Claude API</t>
  </si>
  <si>
    <t xml:space="preserve">Anthropic's AI. Eisla uses it to parse plain-English descriptions into component lists.</t>
  </si>
  <si>
    <t xml:space="preserve">DigiKey API</t>
  </si>
  <si>
    <t xml:space="preserve">Component distributor API for pricing/availability. Deferred to v2 (£0 in v1).</t>
  </si>
  <si>
    <t xml:space="preserve">Stripe</t>
  </si>
  <si>
    <t xml:space="preserve">Payment processor. 1.5% + £0.30 per transaction.</t>
  </si>
  <si>
    <t xml:space="preserve">Reorder ≠ dissatisfaction</t>
  </si>
  <si>
    <t xml:space="preserve">7% reorder rate means 7% of customers order ADDITIONAL production runs of the same working design.</t>
  </si>
  <si>
    <t xml:space="preserve">Eisla — Realistic Case: Model Assumptions (v7)</t>
  </si>
  <si>
    <t xml:space="preserve">Blue = input  |  Amber = new/changed in v6  |  DigiKey API deferred — £0 in v1. Manufacturing base case: JLCPCB. Customer chooses from JLCPCB / PCBWay / PCBTrain / Eurocircuits at checkout.</t>
  </si>
  <si>
    <t xml:space="preserve">PRICING</t>
  </si>
  <si>
    <t xml:space="preserve">Design fee — standard blended (£)</t>
  </si>
  <si>
    <t xml:space="preserve">Blended across MCU tiers (see tier reference). T1=£499/T2=£599/T3=£749.</t>
  </si>
  <si>
    <t xml:space="preserve">Design fee — promotional (selected customers, £)</t>
  </si>
  <si>
    <t xml:space="preserve">~50% of standard. Strategic partners only. T2/T3 promo jobs still incur review cost.</t>
  </si>
  <si>
    <t xml:space="preserve">Design fee — repeat customer within 6 months (£)</t>
  </si>
  <si>
    <t xml:space="preserve">Auto-calc: standard × (1 − repeat discount). Emailed code, applied at checkout.</t>
  </si>
  <si>
    <t xml:space="preserve">Repeat customer discount (%)</t>
  </si>
  <si>
    <t xml:space="preserve">10% off design fee only. Manufacturing always at full price.</t>
  </si>
  <si>
    <t xml:space="preserve">Manufacturing margin — prototype (%)</t>
  </si>
  <si>
    <t xml:space="preserve">Applied to PCBA landed cost regardless of fab chosen (JLCPCB, PCBWay, PCBTrain, Eurocircuits). Model base case = JLCPCB costs.</t>
  </si>
  <si>
    <t xml:space="preserve">Manufacturing margin — reorder (%)</t>
  </si>
  <si>
    <t xml:space="preserve">Same board reordered; no design work. Applied regardless of fab chosen.</t>
  </si>
  <si>
    <t xml:space="preserve">Promotional mix — Year 1 (% of new design jobs)</t>
  </si>
  <si>
    <t xml:space="preserve">20% Y1 at £299 promo rate.</t>
  </si>
  <si>
    <t xml:space="preserve">Promotional mix — Year 2 (% of new design jobs)</t>
  </si>
  <si>
    <t xml:space="preserve">5% Y2; 0% Y3.</t>
  </si>
  <si>
    <t xml:space="preserve">Rush surcharge (%)</t>
  </si>
  <si>
    <t xml:space="preserve">+37.5% on customer manufacturing price.</t>
  </si>
  <si>
    <t xml:space="preserve">Revision fee — 2nd+ revision (£)</t>
  </si>
  <si>
    <t xml:space="preserve">First revision always free.</t>
  </si>
  <si>
    <t xml:space="preserve">MCU TIER REFERENCE (no BGA — leaded/QFN only)</t>
  </si>
  <si>
    <t xml:space="preserve">Adjust tier fees and mix % to update blended standard fee in B5 and blended review cost in B38.</t>
  </si>
  <si>
    <t xml:space="preserve">Tier 1 fee (£)</t>
  </si>
  <si>
    <t xml:space="preserve">ATmega, STM32F0/F1/F3, basic ESP8266. LQFP≤64, DIP, SOIC.</t>
  </si>
  <si>
    <t xml:space="preserve">Tier 1 job mix (%)</t>
  </si>
  <si>
    <t xml:space="preserve">25% of jobs</t>
  </si>
  <si>
    <t xml:space="preserve">Tier 2 fee (£)</t>
  </si>
  <si>
    <t xml:space="preserve">ESP32, RP2040, nRF52840, STM32F4/F7 LQFP, QFN. Dominant tier.</t>
  </si>
  <si>
    <t xml:space="preserve">Tier 2 job mix (%)</t>
  </si>
  <si>
    <t xml:space="preserve">60% of jobs</t>
  </si>
  <si>
    <t xml:space="preserve">Tier 3 fee (£)</t>
  </si>
  <si>
    <t xml:space="preserve">STM32H7 LQFP176/208, i.MX RT LQFP. Complex multi-peripheral. No BGA ever.</t>
  </si>
  <si>
    <t xml:space="preserve">Tier 3 job mix (%)</t>
  </si>
  <si>
    <t xml:space="preserve">15% of jobs</t>
  </si>
  <si>
    <t xml:space="preserve">Blended standard fee — CHECK vs B5 (£)</t>
  </si>
  <si>
    <t xml:space="preserve">Should match B5. If tiers change, update B5.</t>
  </si>
  <si>
    <t xml:space="preserve">AVERAGE JOB COSTS (variable, per new design job)</t>
  </si>
  <si>
    <t xml:space="preserve">Claude API cost per design job (£)</t>
  </si>
  <si>
    <t xml:space="preserve">3–5 API calls at Sonnet 4 rates | Source: Anthropic API pricing page, Feb 2026. Sonnet 4: ~$3/MTok in, ~$15/MTok out. 3-5 calls/job.</t>
  </si>
  <si>
    <t xml:space="preserve">Compute / FreeRouting per job (£)</t>
  </si>
  <si>
    <t xml:space="preserve">Server time for routing + 3D render | Source: Railway.app / Fly.io pricing, Feb 2026. Autoroute + 3D render per job.</t>
  </si>
  <si>
    <t xml:space="preserve">DigiKey API lookups per job (£)</t>
  </si>
  <si>
    <t xml:space="preserve">DigiKey API deferred to v2. £0 in v1. | Deferred to v2. DigiKey API is free but integration not built yet.</t>
  </si>
  <si>
    <t xml:space="preserve">Average PCBA landed cost — 5 boards (£)</t>
  </si>
  <si>
    <t xml:space="preserve">JLCPCB base case (conservative - most price-sensitive prototype customers). UK fabs (PCBTrain, Eurocircuits) £280-£450 landed for same spec - higher customer price, same 26% margin. Model uses JLCPCB as base; actual mix depends on customer fab choice at checkout. | Source: JLCPCB instant quote tool, Feb 2026. 4-layer, 100x100mm, 5 boards, SMT assembly, DHL shipping.</t>
  </si>
  <si>
    <t xml:space="preserve">PCBA landed cost — rush premium (£)</t>
  </si>
  <si>
    <t xml:space="preserve">JLCPCB 48hr uplift base case (~16% of base). UK fabs have different rush structures. | Source: JLCPCB 48-hour rush option. ~16% uplift on base PCBA cost.</t>
  </si>
  <si>
    <t xml:space="preserve">Stripe fee rate (%)</t>
  </si>
  <si>
    <t xml:space="preserve">1.5% per transaction | Source: Stripe UK pricing page, Feb 2026. Standard rate for UK cards.</t>
  </si>
  <si>
    <t xml:space="preserve">Stripe fixed fee per transaction (£)</t>
  </si>
  <si>
    <t xml:space="preserve">£0.30 per charge</t>
  </si>
  <si>
    <t xml:space="preserve">ENGINEER DESIGN REVIEW (variable cost — T2 and T3 only)</t>
  </si>
  <si>
    <t xml:space="preserve">T1 designs: no review (simple, automated output sufficient). T2/T3: mandatory review before Gerbers released to fab.</t>
  </si>
  <si>
    <t xml:space="preserve">Engineer hourly rate (£)</t>
  </si>
  <si>
    <t xml:space="preserve">Contract electronics engineer. Day rate ~£720. | Source: Contract electronics engineer market rate, UK. Verified via PeoplePerHour/Upwork, Feb 2026. Day rate £600-£800, midpoint £720.</t>
  </si>
  <si>
    <t xml:space="preserve">Tier 1 review hours</t>
  </si>
  <si>
    <t xml:space="preserve">No review — simple routing, single supply, standard packages</t>
  </si>
  <si>
    <t xml:space="preserve">Tier 2 review hours</t>
  </si>
  <si>
    <t xml:space="preserve">4 hours — ESP32/RP2040/nRF52840/STM32F4 complexity | Estimate: ESP32/RP2040 schematic + layout review. To be validated with engineer before launch.</t>
  </si>
  <si>
    <t xml:space="preserve">Tier 3 review hours</t>
  </si>
  <si>
    <t xml:space="preserve">6 hours — STM32H7/i.MX RT, complex multi-peripheral | Estimate: STM32H7/i.MX RT multi-peripheral review. To be validated with engineer before launch.</t>
  </si>
  <si>
    <t xml:space="preserve">Tier 1 review cost (£)</t>
  </si>
  <si>
    <t xml:space="preserve">Auto-calc: T1 hours × rate</t>
  </si>
  <si>
    <t xml:space="preserve">Tier 2 review cost (£)</t>
  </si>
  <si>
    <t xml:space="preserve">Auto-calc: 4h × £90 = £360</t>
  </si>
  <si>
    <t xml:space="preserve">Tier 3 review cost (£)</t>
  </si>
  <si>
    <t xml:space="preserve">Auto-calc: 6h × £90 = £540</t>
  </si>
  <si>
    <t xml:space="preserve">Blended review cost per new design job (£)</t>
  </si>
  <si>
    <t xml:space="preserve">Weighted: 25%×£0 + 60%×£360 + 15%×£540 = £297. Applies to standard, repeat, AND promotional new design jobs.</t>
  </si>
  <si>
    <t xml:space="preserve">FULL-TIME ENGINEER COST MODEL</t>
  </si>
  <si>
    <t xml:space="preserve">VOLUME &amp; JOB MIX</t>
  </si>
  <si>
    <t xml:space="preserve">Base salary: £70,000</t>
  </si>
  <si>
    <t xml:space="preserve">Year 1 total jobs</t>
  </si>
  <si>
    <t xml:space="preserve">Employer NI (15% on £65k, threshold £5k from Apr 2025): £9,750</t>
  </si>
  <si>
    <t xml:space="preserve">Year 2 total jobs</t>
  </si>
  <si>
    <t xml:space="preserve">Pension (5% employer contribution): £3,500</t>
  </si>
  <si>
    <t xml:space="preserve">Year 3 total jobs</t>
  </si>
  <si>
    <t xml:space="preserve">CPD (training, IET membership, conferences): £1,500</t>
  </si>
  <si>
    <t xml:space="preserve">Reorder rate — Y1 (% of total jobs)</t>
  </si>
  <si>
    <t xml:space="preserve">IT costs (software licences, cloud tools, hardware refresh): £1,500</t>
  </si>
  <si>
    <t xml:space="preserve">Reorder rate — Y2 (% of total jobs)</t>
  </si>
  <si>
    <t xml:space="preserve">Ongoing loaded cost per engineer per year: £86,250</t>
  </si>
  <si>
    <t xml:space="preserve">Reorder rate — Y3 (% of total jobs)</t>
  </si>
  <si>
    <t xml:space="preserve">Home office setup per NEW hire (one-off: laptop, monitors, desk, chair): £2,500</t>
  </si>
  <si>
    <t xml:space="preserve">Repeat customer rate — Y1 (% of new design jobs)</t>
  </si>
  <si>
    <t xml:space="preserve">Repeat customer rate — Y2 (% of new design jobs)</t>
  </si>
  <si>
    <t xml:space="preserve">Capacity: ~565 jobs/yr (1,400 productive hrs ÷ 3.3 hrs/reviewed job)</t>
  </si>
  <si>
    <t xml:space="preserve">Repeat customer rate — Y3 (% of new design jobs)</t>
  </si>
  <si>
    <t xml:space="preserve">Breakeven vs contract: £86,250 ÷ £297/job = 290 jobs/yr (was 236 on salary alone)</t>
  </si>
  <si>
    <t xml:space="preserve">Rush % of new design jobs — Y1</t>
  </si>
  <si>
    <t xml:space="preserve">Hire trigger: ~25 new design jobs/month sustained for 2-3 months</t>
  </si>
  <si>
    <t xml:space="preserve">Rush % of new design jobs — Y2</t>
  </si>
  <si>
    <t xml:space="preserve">Rush % of new design jobs — Y3</t>
  </si>
  <si>
    <t xml:space="preserve">Avg chargeable revisions per job</t>
  </si>
  <si>
    <t xml:space="preserve">10% of jobs trigger paid 2nd revision @ £5</t>
  </si>
  <si>
    <t xml:space="preserve">FIXED COSTS (annual £)</t>
  </si>
  <si>
    <t xml:space="preserve">Hosting &amp; infrastructure — Y1 (£)</t>
  </si>
  <si>
    <t xml:space="preserve">Railway/Fly.io: £150/month | Source: Railway.app pricing, Feb 2026. Includes web server, routing server, 3D render.</t>
  </si>
  <si>
    <t xml:space="preserve">Hosting &amp; infrastructure — Y2 (£)</t>
  </si>
  <si>
    <t xml:space="preserve">Hosting &amp; infrastructure — Y3 (£)</t>
  </si>
  <si>
    <t xml:space="preserve">Domain &amp; email marketing (£)</t>
  </si>
  <si>
    <t xml:space="preserve">Annual — same all years | Cloudflare domain £20, Buttondown/ConvertKit £30/mo, misc SaaS. Quoted Feb 2026.</t>
  </si>
  <si>
    <t xml:space="preserve">IT &amp; data (M365, storage, backup) (£)</t>
  </si>
  <si>
    <t xml:space="preserve">Y1: 1 user M365 Business Standard £115 + cloud storage £50 + backup £50. Y2: 2 users £264 + storage + backup. Y3: 4 users £528 + storage + backup. M365 rising ~15% from Jul 2026.</t>
  </si>
  <si>
    <t xml:space="preserve">Accountancy &amp; legal (£)</t>
  </si>
  <si>
    <t xml:space="preserve">Y1: £800 accountancy + £2,500 legal (ToS, privacy policy, contractor templates, Companies House). Y2: £1,700 (£1,200+£500). Y3: £2,500 (£2,000+£500).</t>
  </si>
  <si>
    <t xml:space="preserve">Professional indemnity insurance — annual (£)</t>
  </si>
  <si>
    <t xml:space="preserve">Source: Hiscox / Simply Business quotes, Feb 2026. PI + public liability for tech consultancy.</t>
  </si>
  <si>
    <t xml:space="preserve">Marketing / advertising — Y1 (£)</t>
  </si>
  <si>
    <t xml:space="preserve">12% of Y1 revenue (10-15% target). Google Ads £400/mo, SEO/content £200/mo, social £150/mo, 2× events £2k, email, misc.</t>
  </si>
  <si>
    <t xml:space="preserve">Marketing / advertising — Y2 (£)</t>
  </si>
  <si>
    <t xml:space="preserve">12% of Y2 revenue. Scaled PPC, SEO, trade shows (Embedded World, Maker Faires), content marketing, YouTube.</t>
  </si>
  <si>
    <t xml:space="preserve">Marketing / advertising — Y3 (£)</t>
  </si>
  <si>
    <t xml:space="preserve">12% of Y3 revenue. Full marketing stack: PPC, SEO agency, events, content team, partnerships, PR.</t>
  </si>
  <si>
    <t xml:space="preserve">Home office (premises £1,200 + broadband £360 + phone £180)</t>
  </si>
  <si>
    <t xml:space="preserve">HMRC simplified expenses or actual proportion. Premises, broadband, phone. Consult accountant.</t>
  </si>
  <si>
    <t xml:space="preserve">Full-time engineer — loaded cost (£)</t>
  </si>
  <si>
    <t xml:space="preserve">Per engineer ongoing: salary £70k + employer NI £9,750 + pension £3,500 + CPD £1,500 + IT £1,500. Plus £2,500 setup per new hire.</t>
  </si>
  <si>
    <t xml:space="preserve">IMPORTANT DEFINITIONS</t>
  </si>
  <si>
    <t xml:space="preserve">Reorder (7% rate)</t>
  </si>
  <si>
    <t xml:space="preserve">Customer ordering ADDITIONAL production runs of a working design. NOT a measure of satisfaction — 93% of customers don't need more boards, not that 93% failed. Reorders have no design work, just manufacturing at 13% margin.</t>
  </si>
  <si>
    <t xml:space="preserve">Payment flow</t>
  </si>
  <si>
    <t xml:space="preserve">Customer pays design fee upfront via Stripe → AI pipeline generates design → Engineer reviews (T2/T3) → Customer approves → Customer pays manufacturing cost → Eisla places order with chosen fab → Boards ship direct to customer.</t>
  </si>
  <si>
    <t xml:space="preserve">IP / copyright</t>
  </si>
  <si>
    <t xml:space="preserve">Customer owns the design files (Gerbers, KiCad project). They can take files to any fab directly. No licence fee on production runs. Reorder revenue comes from convenience, not lock-in.</t>
  </si>
  <si>
    <t xml:space="preserve">Tier auto-assignment</t>
  </si>
  <si>
    <t xml:space="preserve">AI automatically classifies the customer's MCU from their plain-English description and assigns the correct pricing tier. No manual intervention needed.</t>
  </si>
  <si>
    <t xml:space="preserve">Eisla — Unit Economics (all 4-layer, no BGA, incl. engineer review | Mfg base case: JLCPCB; 26% manufacturing margin applied to all fabs)</t>
  </si>
  <si>
    <t xml:space="preserve">Standard
£599 blended</t>
  </si>
  <si>
    <t xml:space="preserve">Promotional
£299</t>
  </si>
  <si>
    <t xml:space="preserve">Repeat &lt;6m
£539 blended</t>
  </si>
  <si>
    <t xml:space="preserve">Rush
+37.5% mfg</t>
  </si>
  <si>
    <t xml:space="preserve">Reorder
(no design)</t>
  </si>
  <si>
    <t xml:space="preserve">Notes</t>
  </si>
  <si>
    <t xml:space="preserve">REVENUE</t>
  </si>
  <si>
    <t xml:space="preserve">  Design fee</t>
  </si>
  <si>
    <t xml:space="preserve">Blended fee = 25%×£499 + 60%×£599 + 15%×£749. Repeat = standard × 90%.</t>
  </si>
  <si>
    <t xml:space="preserve">  Manufacturing revenue (customer price)</t>
  </si>
  <si>
    <t xml:space="preserve">Mfg revenue same formula regardless of fab customer chooses. Base case = JLCPCB £165 landed. UK fabs higher absolute revenue at same 26% margin. Model is conservative.</t>
  </si>
  <si>
    <t xml:space="preserve">Total Revenue per Job</t>
  </si>
  <si>
    <t xml:space="preserve">VARIABLE COSTS</t>
  </si>
  <si>
    <t xml:space="preserve">  PCBA landed cost</t>
  </si>
  <si>
    <t xml:space="preserve">4-layer £140–£200, midpoint £165. Rush adds £26.</t>
  </si>
  <si>
    <t xml:space="preserve">  Engineer design review</t>
  </si>
  <si>
    <t xml:space="preserve">T1=£0, T2=£360, T3=£540. Blended £297. Applies to ALL new design jobs incl. promo/repeat.</t>
  </si>
  <si>
    <t xml:space="preserve">  Claude API</t>
  </si>
  <si>
    <t xml:space="preserve">  Compute / FreeRouting</t>
  </si>
  <si>
    <t xml:space="preserve">  DigiKey API</t>
  </si>
  <si>
    <t xml:space="preserve">  Stripe processing fees</t>
  </si>
  <si>
    <t xml:space="preserve">Total Variable Cost</t>
  </si>
  <si>
    <t xml:space="preserve">CONTRIBUTION</t>
  </si>
  <si>
    <t xml:space="preserve">  Gross Profit per Job</t>
  </si>
  <si>
    <t xml:space="preserve">  Gross Margin %</t>
  </si>
  <si>
    <t xml:space="preserve">MCU TIER BREAKDOWN &amp; REVIEW COSTS</t>
  </si>
  <si>
    <t xml:space="preserve">Design Fee</t>
  </si>
  <si>
    <t xml:space="preserve">Review Cost</t>
  </si>
  <si>
    <t xml:space="preserve">Tier 1 (25%): ATmega, STM32F0/F1/F3, ESP8266</t>
  </si>
  <si>
    <t xml:space="preserve">LQFP≤64, DIP — no review required</t>
  </si>
  <si>
    <t xml:space="preserve">Tier 2 (60%): ESP32, RP2040, nRF52840, STM32F4</t>
  </si>
  <si>
    <t xml:space="preserve">QFN/LQFP — 4h engineer review @ £90/hr</t>
  </si>
  <si>
    <t xml:space="preserve">Tier 3 (15%): STM32H7, i.MX RT in LQFP</t>
  </si>
  <si>
    <t xml:space="preserve">LQFP176/208 — 6h engineer review @ £90/hr</t>
  </si>
  <si>
    <t xml:space="preserve">Tier 4: BGA / application processor</t>
  </si>
  <si>
    <t xml:space="preserve">—</t>
  </si>
  <si>
    <t xml:space="preserve">Out of scope — refer to specialist engineer</t>
  </si>
  <si>
    <t xml:space="preserve">Note: Blended review cost = 25%×£0 + 60%×£360 + 15%×£540 = £297. Applied to ALL new design jobs regardless of pricing tier. Reorders have no review cost. Module add-ons sit on top of tier fee — model uses blended tier as conservative base.</t>
  </si>
  <si>
    <t xml:space="preserve">MARGIN CLARIFICATION</t>
  </si>
  <si>
    <t xml:space="preserve">26% manufacturing margin = markup on PCBA cost ONLY (£165 → £223). This is the margin on the manufacturing portion of the order.</t>
  </si>
  <si>
    <t xml:space="preserve">37-42% overall gross margin = total revenue (design fee + manufacturing) minus all variable costs. Higher because design fees are mostly margin.</t>
  </si>
  <si>
    <t xml:space="preserve">These are two different metrics measuring different things. Both are correct.</t>
  </si>
  <si>
    <t xml:space="preserve">Eisla — Pessimistic Case: 3-Year P&amp;L (30% of Realistic)</t>
  </si>
  <si>
    <t xml:space="preserve">Stress test: what if growth is 70% slower than planned? All pricing, costs, and margins identical to base case.</t>
  </si>
  <si>
    <t xml:space="preserve">Year 1
2026/27</t>
  </si>
  <si>
    <t xml:space="preserve">Year 2
2027/28</t>
  </si>
  <si>
    <t xml:space="preserve">Year 3
2028/29</t>
  </si>
  <si>
    <t xml:space="preserve">vs Base
Year 1</t>
  </si>
  <si>
    <t xml:space="preserve">vs Base
Year 3</t>
  </si>
  <si>
    <t xml:space="preserve">VOLUME</t>
  </si>
  <si>
    <t xml:space="preserve">  New design jobs</t>
  </si>
  <si>
    <t xml:space="preserve">  of which: standard (£599)</t>
  </si>
  <si>
    <t xml:space="preserve">  of which: promotional (£299)</t>
  </si>
  <si>
    <t xml:space="preserve">  of which: repeat customer (£539)</t>
  </si>
  <si>
    <t xml:space="preserve">  Rush jobs</t>
  </si>
  <si>
    <t xml:space="preserve">  Reorder jobs</t>
  </si>
  <si>
    <t xml:space="preserve">REVENUE (£)</t>
  </si>
  <si>
    <t xml:space="preserve">  Design fee revenue</t>
  </si>
  <si>
    <t xml:space="preserve">  Manufacturing — standard</t>
  </si>
  <si>
    <t xml:space="preserve">  Manufacturing — rush</t>
  </si>
  <si>
    <t xml:space="preserve">  Reorder revenue</t>
  </si>
  <si>
    <t xml:space="preserve">  Revision fees</t>
  </si>
  <si>
    <t xml:space="preserve">VARIABLE COSTS (£)</t>
  </si>
  <si>
    <t xml:space="preserve">  PCBA cost</t>
  </si>
  <si>
    <t xml:space="preserve">  Compute / routing</t>
  </si>
  <si>
    <t xml:space="preserve">  Stripe fees</t>
  </si>
  <si>
    <t xml:space="preserve">Total Variable Costs</t>
  </si>
  <si>
    <t xml:space="preserve">Gross Margin %</t>
  </si>
  <si>
    <t xml:space="preserve">FIXED COSTS (£)</t>
  </si>
  <si>
    <t xml:space="preserve">  Hosting</t>
  </si>
  <si>
    <t xml:space="preserve">  Domain, IT &amp; data</t>
  </si>
  <si>
    <t xml:space="preserve">  Accountancy &amp; legal</t>
  </si>
  <si>
    <t xml:space="preserve">  Insurance (PI)</t>
  </si>
  <si>
    <t xml:space="preserve">  Marketing (12% of revenue)</t>
  </si>
  <si>
    <t xml:space="preserve">  Home office / premises</t>
  </si>
  <si>
    <t xml:space="preserve">  Broadband</t>
  </si>
  <si>
    <t xml:space="preserve">  Phone / comms</t>
  </si>
  <si>
    <t xml:space="preserve">  Full-time engineers (loaded cost)</t>
  </si>
  <si>
    <t xml:space="preserve">Total Fixed Costs</t>
  </si>
  <si>
    <t xml:space="preserve">Operating Margin %</t>
  </si>
  <si>
    <t xml:space="preserve">Even at 30% of realistic volumes, Eisla remains profitable in all 3 years.</t>
  </si>
  <si>
    <t xml:space="preserve">Breakeven: ~3-4 jobs/month covers all fixed costs.</t>
  </si>
  <si>
    <t xml:space="preserve">IT &amp; data: M365 Business Standard (£9.60/user/mo, rising Jul 2026), Backblaze B2 storage, backup.</t>
  </si>
  <si>
    <t xml:space="preserve">1 FT engineer from Y3 (502 jobs, capacity 565). Loaded: £86,250 + £2,500 setup.</t>
  </si>
  <si>
    <t xml:space="preserve">Loaded cost includes salary, employer NI (15%), pension (5%), CPD, IT.</t>
  </si>
  <si>
    <t xml:space="preserve">Eisla — Realistic Case: Year 1 Monthly P&amp;L (Apr 2026 – Mar 2027)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</si>
  <si>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</si>
  <si>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</si>
  <si>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</si>
  <si>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</si>
  <si>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</si>
  <si>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</si>
  <si>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</si>
  <si>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</si>
  <si>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</si>
  <si>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</si>
  <si>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</si>
  <si>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</si>
  <si>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FY Total</t>
  </si>
  <si>
    <t xml:space="preserve">JOB VOLUMES</t>
  </si>
  <si>
    <t xml:space="preserve">  Total jobs in month</t>
  </si>
  <si>
    <t xml:space="preserve">  Reorder jobs (same board)</t>
  </si>
  <si>
    <t xml:space="preserve">  Promotional rate jobs (£299)</t>
  </si>
  <si>
    <t xml:space="preserve">  Repeat customer jobs (£539 blended)</t>
  </si>
  <si>
    <t xml:space="preserve">  Standard rate jobs (£599 blended)</t>
  </si>
  <si>
    <t xml:space="preserve">  Manufacturing revenue — standard</t>
  </si>
  <si>
    <t xml:space="preserve">  Manufacturing revenue — rush</t>
  </si>
  <si>
    <t xml:space="preserve">  PCBA cost (paid to JLCPCB)</t>
  </si>
  <si>
    <t xml:space="preserve">  Home office</t>
  </si>
  <si>
    <t xml:space="preserve">  (marketing target: 10-15% of revenue, modelled at 12%)</t>
  </si>
  <si>
    <t xml:space="preserve">Operating Profit / (Loss)</t>
  </si>
  <si>
    <t xml:space="preserve">Cumulative Operating Profit</t>
  </si>
  <si>
    <t xml:space="preserve">Eisla — Realistic Case: 3-Year Annual P&amp;L</t>
  </si>
  <si>
    <t xml:space="preserve">Y1→Y2
Growth</t>
  </si>
  <si>
    <t xml:space="preserve">Y2→Y3
Growth</t>
  </si>
  <si>
    <t xml:space="preserve">  (incl. home office £1,740/yr. FT eng loaded: salary+NI+pension+CPD+IT+setup)</t>
  </si>
  <si>
    <t xml:space="preserve">KEY METRICS</t>
  </si>
  <si>
    <t xml:space="preserve">  Avg revenue per new design job</t>
  </si>
  <si>
    <t xml:space="preserve">  Avg contribution per new design job</t>
  </si>
  <si>
    <t xml:space="preserve">  Repeat customer rate</t>
  </si>
  <si>
    <t xml:space="preserve">  Reorder rate</t>
  </si>
  <si>
    <t xml:space="preserve">Engineer staffing: Contract Y1 (below breakeven). 1 FT from Y2 (loaded £88,750 inc setup).</t>
  </si>
  <si>
    <t xml:space="preserve">3 FT engineers Y3 (1 existing £86,250 + 2 new × £88,750 = £263,750). IT scales with headcount.</t>
  </si>
  <si>
    <t xml:space="preserve">Loaded cost: salary £70k + employer NI £9,750 + pension £3,500 + CPD £1,500 + IT £1,500.</t>
  </si>
  <si>
    <t xml:space="preserve">Eisla — Optimistic Case: Assumptions</t>
  </si>
  <si>
    <t xml:space="preserve">Amber = changed vs base. Pricing/costs/tiers/review rate all identical to base. Volume and repeat rate differ.</t>
  </si>
  <si>
    <t xml:space="preserve">Applied to PCBA landed cost (all 4-layer).</t>
  </si>
  <si>
    <t xml:space="preserve">Same board reordered; no design work.</t>
  </si>
  <si>
    <t xml:space="preserve">3–5 API calls at Sonnet 4 rates</t>
  </si>
  <si>
    <t xml:space="preserve">Server time for routing + 3D render</t>
  </si>
  <si>
    <t xml:space="preserve">DigiKey API deferred to v2. £0 in v1.</t>
  </si>
  <si>
    <t xml:space="preserve">JLCPCB 4-layer. Range £140–£200.</t>
  </si>
  <si>
    <t xml:space="preserve">JLCPCB 48hr uplift (~16% of base)</t>
  </si>
  <si>
    <t xml:space="preserve">1.5% per transaction</t>
  </si>
  <si>
    <t xml:space="preserve">Contract electronics engineer. Day rate ~£720.</t>
  </si>
  <si>
    <t xml:space="preserve">4 hours — ESP32/RP2040/nRF52840/STM32F4 complexity</t>
  </si>
  <si>
    <t xml:space="preserve">6 hours — STM32H7/i.MX RT, complex multi-peripheral</t>
  </si>
  <si>
    <t xml:space="preserve">VOLUME &amp; JOB MIX  &lt;-- BULL LEVERS</t>
  </si>
  <si>
    <t xml:space="preserve">Repeat customer rate — Y1 (% of new designs)</t>
  </si>
  <si>
    <t xml:space="preserve">Repeat customer rate — Y2 (% of new designs)</t>
  </si>
  <si>
    <t xml:space="preserve">Repeat customer rate — Y3 (% of new designs)</t>
  </si>
  <si>
    <t xml:space="preserve">Base=12%</t>
  </si>
  <si>
    <t xml:space="preserve">Base=15%</t>
  </si>
  <si>
    <t xml:space="preserve">Unchanged</t>
  </si>
  <si>
    <t xml:space="preserve">Same as base</t>
  </si>
  <si>
    <t xml:space="preserve">Base=£3,600</t>
  </si>
  <si>
    <t xml:space="preserve">Base=£6,000</t>
  </si>
  <si>
    <t xml:space="preserve">Y1: 2 users M365 £230 + storage + backup. Y2: 3 users. Y3: 7 users. Scales with engineer headcount.</t>
  </si>
  <si>
    <t xml:space="preserve">Y1: £800 accountancy + £2,500 legal. Y2+: ongoing £500 legal.</t>
  </si>
  <si>
    <t xml:space="preserve">Part-time support / VA — Y2 (£)</t>
  </si>
  <si>
    <t xml:space="preserve">Customer comms + repeat code system</t>
  </si>
  <si>
    <t xml:space="preserve">Full-time hire — Y3 (£)</t>
  </si>
  <si>
    <t xml:space="preserve">Operations + customer success</t>
  </si>
  <si>
    <t xml:space="preserve">Professional indemnity insurance (£)</t>
  </si>
  <si>
    <t xml:space="preserve">Same as base case</t>
  </si>
  <si>
    <t xml:space="preserve">12% of Y1 revenue (10-15% target). Higher volume needs more marketing spend.</t>
  </si>
  <si>
    <t xml:space="preserve">12% of Y2 revenue. Full multi-channel spend.</t>
  </si>
  <si>
    <t xml:space="preserve">12% of Y3 revenue. Major marketing investment at scale.</t>
  </si>
  <si>
    <t xml:space="preserve">Eisla — Optimistic Case: 3-Year P&amp;L</t>
  </si>
  <si>
    <t xml:space="preserve">  Part-time support (Y2)</t>
  </si>
  <si>
    <t xml:space="preserve">  Avg revenue / new design job</t>
  </si>
  <si>
    <t xml:space="preserve">  Incremental op profit vs base</t>
  </si>
  <si>
    <t xml:space="preserve">Engineer staffing: FT from Y1 (260 jobs &gt; 290 loaded breakeven — close enough to justify).</t>
  </si>
  <si>
    <t xml:space="preserve">1× Y1, 2× Y2, 6× Y3. Each engineer: ~565 jobs/yr capacity. IT (M365 etc) scales with headcount.</t>
  </si>
  <si>
    <t xml:space="preserve">Loaded cost: salary £70k + employer NI £9,750 + pension £3,500 + CPD £1,500 + IT £1,500 + £2,500 setup.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</si>
</sst>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£#,##0"/>
    <numFmt numFmtId="167" formatCode="0.0%"/>
    <numFmt numFmtId="168" formatCode="\£#,##0;&quot;(£&quot;#,##0\);\-"/>
    <numFmt numFmtId="169" formatCode="0.0%;\(0.0%\);\-"/>
    <numFmt numFmtId="170" formatCode="#,##0;\(#,##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E3D3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i val="true"/>
      <sz val="9"/>
      <color rgb="FF666666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C2784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E3D3F"/>
        <bgColor rgb="FF333333"/>
      </patternFill>
    </fill>
    <fill>
      <patternFill patternType="solid">
        <fgColor rgb="FFC27840"/>
        <bgColor rgb="FFFF6600"/>
      </patternFill>
    </fill>
    <fill>
      <patternFill patternType="solid">
        <fgColor rgb="FFE8F0F0"/>
        <bgColor rgb="FFE8F5EE"/>
      </patternFill>
    </fill>
    <fill>
      <patternFill patternType="solid">
        <fgColor rgb="FFF7F7F7"/>
        <bgColor rgb="FFFFF8E7"/>
      </patternFill>
    </fill>
    <fill>
      <patternFill patternType="solid">
        <fgColor rgb="FF0D1F1A"/>
        <bgColor rgb="FF0E3D3F"/>
      </patternFill>
    </fill>
    <fill>
      <patternFill patternType="solid">
        <fgColor rgb="FFE8F5EE"/>
        <bgColor rgb="FFE8F0F0"/>
      </patternFill>
    </fill>
    <fill>
      <patternFill patternType="solid">
        <fgColor rgb="FFFDF0E6"/>
        <bgColor rgb="FFFFF8E7"/>
      </patternFill>
    </fill>
    <fill>
      <patternFill patternType="solid">
        <fgColor rgb="FFFFF8E7"/>
        <bgColor rgb="FFFDF0E6"/>
      </patternFill>
    </fill>
    <fill>
      <patternFill patternType="solid">
        <fgColor rgb="FF5C8A2E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E3D3F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2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5C8A2E"/>
      <rgbColor rgb="FF800080"/>
      <rgbColor rgb="FF008080"/>
      <rgbColor rgb="FFC0C0C0"/>
      <rgbColor rgb="FF808080"/>
      <rgbColor rgb="FF9999FF"/>
      <rgbColor rgb="FFCC3333"/>
      <rgbColor rgb="FFFFF8E7"/>
      <rgbColor rgb="FFE8F5EE"/>
      <rgbColor rgb="FF660066"/>
      <rgbColor rgb="FFC2784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0"/>
      <rgbColor rgb="FFF7F7F7"/>
      <rgbColor rgb="FFFDF0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E3D3F"/>
      <rgbColor rgb="FF339966"/>
      <rgbColor rgb="FF0D1F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7840"/>
    <pageSetUpPr fitToPage="false"/>
  </sheetPr>
  <dimension ref="A1:F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6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3"/>
    </row>
    <row r="2" customFormat="false" ht="36" hidden="false" customHeight="true" outlineLevel="0" collapsed="false">
      <c r="A2" s="4" t="s">
        <v>1</v>
      </c>
      <c r="B2" s="3"/>
      <c r="C2" s="3"/>
      <c r="D2" s="3"/>
      <c r="E2" s="3"/>
      <c r="F2" s="3"/>
    </row>
    <row r="3" customFormat="false" ht="19.5" hidden="false" customHeight="true" outlineLevel="0" collapsed="false">
      <c r="A3" s="5"/>
      <c r="B3" s="3"/>
      <c r="C3" s="3"/>
      <c r="D3" s="3"/>
      <c r="E3" s="3"/>
      <c r="F3" s="3"/>
    </row>
    <row r="4" customFormat="false" ht="19.5" hidden="false" customHeight="true" outlineLevel="0" collapsed="false">
      <c r="A4" s="3"/>
      <c r="B4" s="6" t="s">
        <v>2</v>
      </c>
      <c r="C4" s="6" t="s">
        <v>3</v>
      </c>
      <c r="D4" s="6" t="s">
        <v>4</v>
      </c>
      <c r="E4" s="3"/>
      <c r="F4" s="3"/>
    </row>
    <row r="5" customFormat="false" ht="15" hidden="false" customHeight="true" outlineLevel="0" collapsed="false">
      <c r="A5" s="3"/>
      <c r="B5" s="7" t="s">
        <v>5</v>
      </c>
      <c r="C5" s="7" t="s">
        <v>6</v>
      </c>
      <c r="D5" s="7" t="s">
        <v>7</v>
      </c>
      <c r="E5" s="3"/>
      <c r="F5" s="3"/>
    </row>
    <row r="6" customFormat="false" ht="19.5" hidden="false" customHeight="true" outlineLevel="0" collapsed="false">
      <c r="A6" s="3"/>
      <c r="B6" s="5"/>
      <c r="C6" s="5"/>
      <c r="D6" s="5"/>
      <c r="E6" s="3"/>
      <c r="F6" s="3"/>
    </row>
    <row r="7" customFormat="false" ht="30" hidden="false" customHeight="true" outlineLevel="0" collapsed="false">
      <c r="A7" s="8" t="s">
        <v>8</v>
      </c>
      <c r="B7" s="9"/>
      <c r="C7" s="9"/>
      <c r="D7" s="9"/>
      <c r="E7" s="3"/>
      <c r="F7" s="3"/>
    </row>
    <row r="8" customFormat="false" ht="19.5" hidden="false" customHeight="true" outlineLevel="0" collapsed="false">
      <c r="A8" s="10" t="s">
        <v>9</v>
      </c>
      <c r="B8" s="11" t="n">
        <f aca="false">'Pessimistic P&amp;L'!B6</f>
        <v>47</v>
      </c>
      <c r="C8" s="11" t="n">
        <f aca="false">'Realistic P&amp;L'!B6</f>
        <v>155</v>
      </c>
      <c r="D8" s="11" t="n">
        <f aca="false">'Optimistic P&amp;L'!B6</f>
        <v>280</v>
      </c>
      <c r="E8" s="3"/>
      <c r="F8" s="3"/>
    </row>
    <row r="9" customFormat="false" ht="15" hidden="false" customHeight="true" outlineLevel="0" collapsed="false">
      <c r="A9" s="12" t="s">
        <v>10</v>
      </c>
      <c r="B9" s="13" t="n">
        <f aca="false">'Pessimistic P&amp;L'!B20</f>
        <v>34166.7</v>
      </c>
      <c r="C9" s="13" t="n">
        <f aca="false">'Realistic P&amp;L'!B20</f>
        <v>113119</v>
      </c>
      <c r="D9" s="13" t="n">
        <f aca="false">'Optimistic P&amp;L'!B20</f>
        <v>201599</v>
      </c>
      <c r="E9" s="3"/>
      <c r="F9" s="3"/>
    </row>
    <row r="10" customFormat="false" ht="19.5" hidden="false" customHeight="true" outlineLevel="0" collapsed="false">
      <c r="A10" s="10" t="s">
        <v>11</v>
      </c>
      <c r="B10" s="14" t="n">
        <f aca="false">'Pessimistic P&amp;L'!B29</f>
        <v>12581.1</v>
      </c>
      <c r="C10" s="14" t="n">
        <f aca="false">'Realistic P&amp;L'!B30</f>
        <v>41890.215</v>
      </c>
      <c r="D10" s="14" t="n">
        <f aca="false">'Optimistic P&amp;L'!B30</f>
        <v>150751.015</v>
      </c>
      <c r="E10" s="3"/>
      <c r="F10" s="3"/>
    </row>
    <row r="11" customFormat="false" ht="30" hidden="false" customHeight="true" outlineLevel="0" collapsed="false">
      <c r="A11" s="12" t="s">
        <v>12</v>
      </c>
      <c r="B11" s="15" t="n">
        <f aca="false">'Pessimistic P&amp;L'!B42</f>
        <v>12500</v>
      </c>
      <c r="C11" s="15" t="n">
        <f aca="false">'Realistic P&amp;L'!B40</f>
        <v>22000</v>
      </c>
      <c r="D11" s="15" t="n">
        <f aca="false">'Optimistic P&amp;L'!B41</f>
        <v>121400</v>
      </c>
      <c r="E11" s="3"/>
      <c r="F11" s="3"/>
    </row>
    <row r="12" customFormat="false" ht="19.5" hidden="false" customHeight="true" outlineLevel="0" collapsed="false">
      <c r="A12" s="10" t="s">
        <v>13</v>
      </c>
      <c r="B12" s="16" t="n">
        <f aca="false">'Pessimistic P&amp;L'!B44</f>
        <v>81.1000000000004</v>
      </c>
      <c r="C12" s="16" t="n">
        <f aca="false">'Realistic P&amp;L'!B42</f>
        <v>19890.215</v>
      </c>
      <c r="D12" s="16" t="n">
        <f aca="false">'Optimistic P&amp;L'!B43</f>
        <v>29351.015</v>
      </c>
      <c r="E12" s="3"/>
      <c r="F12" s="3"/>
    </row>
    <row r="13" customFormat="false" ht="15" hidden="false" customHeight="true" outlineLevel="0" collapsed="false">
      <c r="A13" s="10" t="s">
        <v>14</v>
      </c>
      <c r="B13" s="17" t="n">
        <f aca="false">'Pessimistic P&amp;L'!B45</f>
        <v>0.00237365622082321</v>
      </c>
      <c r="C13" s="17" t="n">
        <f aca="false">'Realistic P&amp;L'!B43</f>
        <v>0.175834430997445</v>
      </c>
      <c r="D13" s="17" t="n">
        <f aca="false">'Optimistic P&amp;L'!B44</f>
        <v>0.145591074360488</v>
      </c>
      <c r="E13" s="3"/>
      <c r="F13" s="3"/>
    </row>
    <row r="14" customFormat="false" ht="9.75" hidden="false" customHeight="true" outlineLevel="0" collapsed="false">
      <c r="A14" s="3"/>
      <c r="B14" s="3"/>
      <c r="C14" s="3"/>
      <c r="D14" s="3"/>
      <c r="E14" s="3"/>
      <c r="F14" s="3"/>
    </row>
    <row r="15" customFormat="false" ht="18" hidden="false" customHeight="true" outlineLevel="0" collapsed="false">
      <c r="A15" s="18" t="s">
        <v>15</v>
      </c>
      <c r="B15" s="19"/>
      <c r="C15" s="19"/>
      <c r="D15" s="19"/>
      <c r="E15" s="3"/>
      <c r="F15" s="3"/>
    </row>
    <row r="16" customFormat="false" ht="19.5" hidden="false" customHeight="true" outlineLevel="0" collapsed="false">
      <c r="A16" s="20" t="s">
        <v>9</v>
      </c>
      <c r="B16" s="21" t="n">
        <f aca="false">'Pessimistic P&amp;L'!C6</f>
        <v>180</v>
      </c>
      <c r="C16" s="21" t="n">
        <f aca="false">'Realistic P&amp;L'!C6</f>
        <v>600</v>
      </c>
      <c r="D16" s="21" t="n">
        <f aca="false">'Optimistic P&amp;L'!C6</f>
        <v>1100</v>
      </c>
      <c r="E16" s="22"/>
      <c r="F16" s="3"/>
    </row>
    <row r="17" customFormat="false" ht="16.5" hidden="false" customHeight="true" outlineLevel="0" collapsed="false">
      <c r="A17" s="23" t="s">
        <v>10</v>
      </c>
      <c r="B17" s="24" t="n">
        <f aca="false">'Pessimistic P&amp;L'!C20</f>
        <v>137553.2</v>
      </c>
      <c r="C17" s="24" t="n">
        <f aca="false">'Realistic P&amp;L'!C20</f>
        <v>459014</v>
      </c>
      <c r="D17" s="24" t="n">
        <f aca="false">'Optimistic P&amp;L'!C20</f>
        <v>833428</v>
      </c>
      <c r="E17" s="3"/>
      <c r="F17" s="3"/>
    </row>
    <row r="18" customFormat="false" ht="16.5" hidden="false" customHeight="true" outlineLevel="0" collapsed="false">
      <c r="A18" s="20" t="s">
        <v>11</v>
      </c>
      <c r="B18" s="25" t="n">
        <f aca="false">'Pessimistic P&amp;L'!C29</f>
        <v>55115.9</v>
      </c>
      <c r="C18" s="25" t="n">
        <f aca="false">'Realistic P&amp;L'!C30</f>
        <v>349352.79</v>
      </c>
      <c r="D18" s="25" t="n">
        <f aca="false">'Optimistic P&amp;L'!C30</f>
        <v>631719.58</v>
      </c>
      <c r="E18" s="3"/>
      <c r="F18" s="3"/>
    </row>
    <row r="19" customFormat="false" ht="16.5" hidden="false" customHeight="true" outlineLevel="0" collapsed="false">
      <c r="A19" s="23" t="s">
        <v>12</v>
      </c>
      <c r="B19" s="24" t="n">
        <f aca="false">'Pessimistic P&amp;L'!C42</f>
        <v>23900</v>
      </c>
      <c r="C19" s="24" t="n">
        <f aca="false">'Realistic P&amp;L'!C40</f>
        <v>152700</v>
      </c>
      <c r="D19" s="24" t="n">
        <f aca="false">'Optimistic P&amp;L'!C41</f>
        <v>291250</v>
      </c>
      <c r="E19" s="3"/>
      <c r="F19" s="3"/>
    </row>
    <row r="20" customFormat="false" ht="16.5" hidden="false" customHeight="true" outlineLevel="0" collapsed="false">
      <c r="A20" s="20" t="s">
        <v>13</v>
      </c>
      <c r="B20" s="25" t="n">
        <f aca="false">'Pessimistic P&amp;L'!C44</f>
        <v>31215.9</v>
      </c>
      <c r="C20" s="25" t="n">
        <f aca="false">'Realistic P&amp;L'!C42</f>
        <v>196652.79</v>
      </c>
      <c r="D20" s="25" t="n">
        <f aca="false">'Optimistic P&amp;L'!C43</f>
        <v>340469.58</v>
      </c>
      <c r="E20" s="3"/>
      <c r="F20" s="3"/>
    </row>
    <row r="21" customFormat="false" ht="16.5" hidden="false" customHeight="true" outlineLevel="0" collapsed="false">
      <c r="A21" s="20" t="s">
        <v>14</v>
      </c>
      <c r="B21" s="26" t="n">
        <f aca="false">'Pessimistic P&amp;L'!C45</f>
        <v>0.226936923314034</v>
      </c>
      <c r="C21" s="26" t="n">
        <f aca="false">'Realistic P&amp;L'!C43</f>
        <v>0.42842438357</v>
      </c>
      <c r="D21" s="26" t="n">
        <f aca="false">'Optimistic P&amp;L'!C44</f>
        <v>0.408517088458751</v>
      </c>
      <c r="E21" s="3"/>
      <c r="F21" s="3"/>
    </row>
    <row r="22" customFormat="false" ht="16.5" hidden="false" customHeight="true" outlineLevel="0" collapsed="false">
      <c r="A22" s="5"/>
      <c r="B22" s="27"/>
      <c r="C22" s="27"/>
      <c r="D22" s="27"/>
      <c r="E22" s="3"/>
      <c r="F22" s="3"/>
    </row>
    <row r="23" customFormat="false" ht="16.5" hidden="false" customHeight="true" outlineLevel="0" collapsed="false">
      <c r="A23" s="18" t="s">
        <v>16</v>
      </c>
      <c r="B23" s="28"/>
      <c r="C23" s="28"/>
      <c r="D23" s="28"/>
      <c r="E23" s="3"/>
      <c r="F23" s="3"/>
    </row>
    <row r="24" customFormat="false" ht="16.5" hidden="false" customHeight="true" outlineLevel="0" collapsed="false">
      <c r="A24" s="20" t="s">
        <v>9</v>
      </c>
      <c r="B24" s="29" t="n">
        <f aca="false">'Pessimistic P&amp;L'!D6</f>
        <v>540</v>
      </c>
      <c r="C24" s="29" t="n">
        <f aca="false">'Realistic P&amp;L'!D6</f>
        <v>1800</v>
      </c>
      <c r="D24" s="29" t="n">
        <f aca="false">'Optimistic P&amp;L'!D6</f>
        <v>3600</v>
      </c>
      <c r="E24" s="3"/>
      <c r="F24" s="3"/>
    </row>
    <row r="25" customFormat="false" ht="16.5" hidden="false" customHeight="true" outlineLevel="0" collapsed="false">
      <c r="A25" s="23" t="s">
        <v>10</v>
      </c>
      <c r="B25" s="24" t="n">
        <f aca="false">'Pessimistic P&amp;L'!D20</f>
        <v>419471.6</v>
      </c>
      <c r="C25" s="24" t="n">
        <f aca="false">'Realistic P&amp;L'!D20</f>
        <v>1398899</v>
      </c>
      <c r="D25" s="24" t="n">
        <f aca="false">'Optimistic P&amp;L'!D20</f>
        <v>2760993</v>
      </c>
      <c r="E25" s="3"/>
      <c r="F25" s="3"/>
    </row>
    <row r="26" customFormat="false" ht="16.5" hidden="false" customHeight="true" outlineLevel="0" collapsed="false">
      <c r="A26" s="20" t="s">
        <v>11</v>
      </c>
      <c r="B26" s="25" t="n">
        <f aca="false">'Pessimistic P&amp;L'!D29</f>
        <v>171367.53</v>
      </c>
      <c r="C26" s="25" t="n">
        <f aca="false">'Realistic P&amp;L'!D30</f>
        <v>1068287.515</v>
      </c>
      <c r="D26" s="25" t="n">
        <f aca="false">'Optimistic P&amp;L'!D30</f>
        <v>2097696.105</v>
      </c>
      <c r="E26" s="3"/>
      <c r="F26" s="3"/>
    </row>
    <row r="27" customFormat="false" ht="15" hidden="false" customHeight="true" outlineLevel="0" collapsed="false">
      <c r="A27" s="12" t="s">
        <v>12</v>
      </c>
      <c r="B27" s="13" t="n">
        <f aca="false">'Pessimistic P&amp;L'!D42</f>
        <v>148800</v>
      </c>
      <c r="C27" s="13" t="n">
        <f aca="false">'Realistic P&amp;L'!D40</f>
        <v>444760</v>
      </c>
      <c r="D27" s="13" t="n">
        <f aca="false">'Optimistic P&amp;L'!D41</f>
        <v>876360</v>
      </c>
      <c r="E27" s="3"/>
      <c r="F27" s="3"/>
    </row>
    <row r="28" customFormat="false" ht="15" hidden="false" customHeight="true" outlineLevel="0" collapsed="false">
      <c r="A28" s="10" t="s">
        <v>13</v>
      </c>
      <c r="B28" s="16" t="n">
        <f aca="false">'Pessimistic P&amp;L'!D44</f>
        <v>22567.53</v>
      </c>
      <c r="C28" s="16" t="n">
        <f aca="false">'Realistic P&amp;L'!D42</f>
        <v>623527.515</v>
      </c>
      <c r="D28" s="16" t="n">
        <f aca="false">'Optimistic P&amp;L'!D43</f>
        <v>1221336.105</v>
      </c>
      <c r="E28" s="3"/>
      <c r="F28" s="3"/>
    </row>
    <row r="29" customFormat="false" ht="9.75" hidden="false" customHeight="true" outlineLevel="0" collapsed="false">
      <c r="A29" s="10" t="s">
        <v>14</v>
      </c>
      <c r="B29" s="17" t="n">
        <f aca="false">'Pessimistic P&amp;L'!D45</f>
        <v>0.0537998996833159</v>
      </c>
      <c r="C29" s="17" t="n">
        <f aca="false">'Realistic P&amp;L'!D43</f>
        <v>0.44572732913527</v>
      </c>
      <c r="D29" s="17" t="n">
        <f aca="false">'Optimistic P&amp;L'!D44</f>
        <v>0.44235393027074</v>
      </c>
      <c r="E29" s="3"/>
      <c r="F29" s="3"/>
    </row>
    <row r="30" customFormat="false" ht="25.5" hidden="false" customHeight="true" outlineLevel="0" collapsed="false">
      <c r="A30" s="5"/>
      <c r="B30" s="3"/>
      <c r="C30" s="3"/>
      <c r="D30" s="3"/>
      <c r="E30" s="3"/>
      <c r="F30" s="3"/>
    </row>
    <row r="31" customFormat="false" ht="19.5" hidden="false" customHeight="true" outlineLevel="0" collapsed="false">
      <c r="A31" s="18" t="s">
        <v>17</v>
      </c>
      <c r="B31" s="30"/>
      <c r="C31" s="30"/>
      <c r="D31" s="30"/>
      <c r="E31" s="22"/>
      <c r="F31" s="3"/>
    </row>
    <row r="32" customFormat="false" ht="16.5" hidden="false" customHeight="true" outlineLevel="0" collapsed="false">
      <c r="A32" s="20" t="s">
        <v>18</v>
      </c>
      <c r="B32" s="29" t="n">
        <f aca="false">B8+B16+B24</f>
        <v>767</v>
      </c>
      <c r="C32" s="29" t="n">
        <f aca="false">C8+C16+C24</f>
        <v>2555</v>
      </c>
      <c r="D32" s="29" t="n">
        <f aca="false">D8+D16+D24</f>
        <v>4980</v>
      </c>
      <c r="E32" s="3"/>
      <c r="F32" s="3"/>
    </row>
    <row r="33" customFormat="false" ht="16.5" hidden="false" customHeight="true" outlineLevel="0" collapsed="false">
      <c r="A33" s="20" t="s">
        <v>19</v>
      </c>
      <c r="B33" s="25" t="n">
        <f aca="false">B9+B17+B25</f>
        <v>591191.5</v>
      </c>
      <c r="C33" s="25" t="n">
        <f aca="false">C9+C17+C25</f>
        <v>1971032</v>
      </c>
      <c r="D33" s="25" t="n">
        <f aca="false">D9+D17+D25</f>
        <v>3796020</v>
      </c>
      <c r="E33" s="3"/>
      <c r="F33" s="3"/>
    </row>
    <row r="34" customFormat="false" ht="16.5" hidden="false" customHeight="true" outlineLevel="0" collapsed="false">
      <c r="A34" s="20" t="s">
        <v>20</v>
      </c>
      <c r="B34" s="25" t="n">
        <f aca="false">B12+B20+B28</f>
        <v>53864.53</v>
      </c>
      <c r="C34" s="25" t="n">
        <f aca="false">C12+C20+C28</f>
        <v>840070.52</v>
      </c>
      <c r="D34" s="25" t="n">
        <f aca="false">D12+D20+D28</f>
        <v>1591156.7</v>
      </c>
      <c r="E34" s="3"/>
      <c r="F34" s="3"/>
    </row>
    <row r="35" customFormat="false" ht="16.5" hidden="false" customHeight="true" outlineLevel="0" collapsed="false">
      <c r="A35" s="5"/>
      <c r="B35" s="27"/>
      <c r="C35" s="27"/>
      <c r="D35" s="27"/>
      <c r="E35" s="3"/>
      <c r="F35" s="3"/>
    </row>
    <row r="36" customFormat="false" ht="16.5" hidden="false" customHeight="true" outlineLevel="0" collapsed="false">
      <c r="A36" s="18" t="s">
        <v>21</v>
      </c>
      <c r="B36" s="28"/>
      <c r="C36" s="28"/>
      <c r="D36" s="28"/>
      <c r="E36" s="3"/>
      <c r="F36" s="3"/>
    </row>
    <row r="37" customFormat="false" ht="16.5" hidden="false" customHeight="true" outlineLevel="0" collapsed="false">
      <c r="A37" s="31" t="s">
        <v>22</v>
      </c>
      <c r="B37" s="31"/>
      <c r="C37" s="31"/>
      <c r="D37" s="31"/>
      <c r="E37" s="31"/>
      <c r="F37" s="3"/>
    </row>
    <row r="38" customFormat="false" ht="16.5" hidden="false" customHeight="true" outlineLevel="0" collapsed="false">
      <c r="A38" s="5"/>
      <c r="B38" s="27"/>
      <c r="C38" s="27"/>
      <c r="D38" s="27"/>
      <c r="E38" s="3"/>
      <c r="F38" s="3"/>
    </row>
    <row r="39" customFormat="false" ht="15" hidden="false" customHeight="true" outlineLevel="0" collapsed="false">
      <c r="A39" s="8" t="s">
        <v>23</v>
      </c>
      <c r="B39" s="19"/>
      <c r="C39" s="19"/>
      <c r="D39" s="19"/>
      <c r="E39" s="3"/>
      <c r="F39" s="3"/>
    </row>
    <row r="40" customFormat="false" ht="13.5" hidden="false" customHeight="true" outlineLevel="0" collapsed="false">
      <c r="A40" s="5" t="s">
        <v>24</v>
      </c>
      <c r="B40" s="3" t="s">
        <v>25</v>
      </c>
      <c r="C40" s="3"/>
      <c r="D40" s="3"/>
      <c r="E40" s="3"/>
      <c r="F40" s="3"/>
    </row>
    <row r="41" customFormat="false" ht="15" hidden="false" customHeight="true" outlineLevel="0" collapsed="false">
      <c r="A41" s="3" t="s">
        <v>26</v>
      </c>
      <c r="B41" s="3" t="s">
        <v>27</v>
      </c>
      <c r="C41" s="3"/>
      <c r="D41" s="3"/>
      <c r="E41" s="3"/>
      <c r="F41" s="3"/>
    </row>
    <row r="42" customFormat="false" ht="15" hidden="false" customHeight="true" outlineLevel="0" collapsed="false">
      <c r="A42" s="3" t="s">
        <v>28</v>
      </c>
      <c r="B42" s="3" t="s">
        <v>29</v>
      </c>
      <c r="C42" s="3"/>
      <c r="D42" s="3"/>
      <c r="E42" s="3"/>
      <c r="F42" s="3"/>
    </row>
    <row r="43" customFormat="false" ht="15" hidden="false" customHeight="true" outlineLevel="0" collapsed="false">
      <c r="A43" s="3" t="s">
        <v>30</v>
      </c>
      <c r="B43" s="3" t="s">
        <v>31</v>
      </c>
      <c r="C43" s="3"/>
      <c r="D43" s="3"/>
      <c r="E43" s="3"/>
      <c r="F43" s="3"/>
    </row>
    <row r="44" customFormat="false" ht="15" hidden="false" customHeight="true" outlineLevel="0" collapsed="false">
      <c r="A44" s="3" t="s">
        <v>32</v>
      </c>
      <c r="B44" s="3" t="s">
        <v>33</v>
      </c>
      <c r="C44" s="3"/>
      <c r="D44" s="3"/>
      <c r="E44" s="3"/>
      <c r="F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</row>
    <row r="46" customFormat="false" ht="15" hidden="false" customHeight="true" outlineLevel="0" collapsed="false">
      <c r="A46" s="32" t="s">
        <v>34</v>
      </c>
      <c r="B46" s="19"/>
      <c r="C46" s="19"/>
      <c r="D46" s="19"/>
      <c r="E46" s="3"/>
      <c r="F46" s="3"/>
    </row>
    <row r="47" customFormat="false" ht="15" hidden="false" customHeight="true" outlineLevel="0" collapsed="false">
      <c r="A47" s="33"/>
      <c r="B47" s="33" t="s">
        <v>2</v>
      </c>
      <c r="C47" s="33" t="s">
        <v>3</v>
      </c>
      <c r="D47" s="33" t="s">
        <v>4</v>
      </c>
      <c r="E47" s="3"/>
      <c r="F47" s="3"/>
    </row>
    <row r="48" customFormat="false" ht="15" hidden="false" customHeight="true" outlineLevel="0" collapsed="false">
      <c r="A48" s="3" t="s">
        <v>35</v>
      </c>
      <c r="B48" s="3" t="n">
        <v>44</v>
      </c>
      <c r="C48" s="3" t="n">
        <v>145</v>
      </c>
      <c r="D48" s="3" t="n">
        <v>260</v>
      </c>
      <c r="E48" s="3"/>
      <c r="F48" s="3"/>
    </row>
    <row r="49" customFormat="false" ht="15" hidden="false" customHeight="true" outlineLevel="0" collapsed="false">
      <c r="A49" s="3" t="s">
        <v>36</v>
      </c>
      <c r="B49" s="3" t="s">
        <v>37</v>
      </c>
      <c r="C49" s="3" t="s">
        <v>37</v>
      </c>
      <c r="D49" s="3" t="s">
        <v>38</v>
      </c>
      <c r="E49" s="3"/>
      <c r="F49" s="3"/>
    </row>
    <row r="50" customFormat="false" ht="15" hidden="false" customHeight="true" outlineLevel="0" collapsed="false">
      <c r="A50" s="3" t="s">
        <v>39</v>
      </c>
      <c r="B50" s="3" t="s">
        <v>40</v>
      </c>
      <c r="C50" s="3" t="s">
        <v>41</v>
      </c>
      <c r="D50" s="3" t="s">
        <v>42</v>
      </c>
      <c r="E50" s="3"/>
      <c r="F50" s="3"/>
    </row>
    <row r="52" customFormat="false" ht="15" hidden="false" customHeight="true" outlineLevel="0" collapsed="false">
      <c r="A52" s="1" t="s">
        <v>43</v>
      </c>
      <c r="B52" s="1" t="n">
        <v>167</v>
      </c>
      <c r="C52" s="1" t="n">
        <v>558</v>
      </c>
      <c r="D52" s="1" t="s">
        <v>44</v>
      </c>
    </row>
    <row r="53" customFormat="false" ht="15" hidden="false" customHeight="true" outlineLevel="0" collapsed="false">
      <c r="A53" s="1" t="s">
        <v>45</v>
      </c>
      <c r="B53" s="1" t="s">
        <v>37</v>
      </c>
      <c r="C53" s="1" t="s">
        <v>38</v>
      </c>
      <c r="D53" s="1" t="s">
        <v>46</v>
      </c>
    </row>
    <row r="54" customFormat="false" ht="15" hidden="false" customHeight="true" outlineLevel="0" collapsed="false">
      <c r="A54" s="1" t="s">
        <v>47</v>
      </c>
      <c r="B54" s="1" t="s">
        <v>48</v>
      </c>
      <c r="C54" s="1" t="s">
        <v>42</v>
      </c>
      <c r="D54" s="1" t="s">
        <v>49</v>
      </c>
    </row>
    <row r="55" customFormat="false" ht="15" hidden="false" customHeight="true" outlineLevel="0" collapsed="false">
      <c r="A55" s="34" t="s">
        <v>50</v>
      </c>
      <c r="B55" s="1" t="s">
        <v>51</v>
      </c>
      <c r="C55" s="1" t="s">
        <v>52</v>
      </c>
      <c r="D55" s="1" t="s">
        <v>53</v>
      </c>
    </row>
    <row r="57" customFormat="false" ht="15" hidden="false" customHeight="true" outlineLevel="0" collapsed="false">
      <c r="A57" s="1" t="s">
        <v>54</v>
      </c>
      <c r="B57" s="1" t="n">
        <v>502</v>
      </c>
      <c r="C57" s="1" t="s">
        <v>55</v>
      </c>
      <c r="D57" s="1" t="s">
        <v>56</v>
      </c>
    </row>
    <row r="58" customFormat="false" ht="15" hidden="false" customHeight="true" outlineLevel="0" collapsed="false">
      <c r="A58" s="1" t="s">
        <v>57</v>
      </c>
      <c r="B58" s="1" t="s">
        <v>38</v>
      </c>
      <c r="C58" s="1" t="s">
        <v>58</v>
      </c>
      <c r="D58" s="1" t="s">
        <v>59</v>
      </c>
    </row>
    <row r="59" customFormat="false" ht="15" hidden="false" customHeight="true" outlineLevel="0" collapsed="false">
      <c r="A59" s="1" t="s">
        <v>60</v>
      </c>
      <c r="B59" s="1" t="s">
        <v>42</v>
      </c>
      <c r="C59" s="1" t="s">
        <v>61</v>
      </c>
      <c r="D59" s="1" t="s">
        <v>62</v>
      </c>
    </row>
    <row r="60" customFormat="false" ht="15" hidden="false" customHeight="true" outlineLevel="0" collapsed="false">
      <c r="A60" s="34" t="s">
        <v>63</v>
      </c>
      <c r="B60" s="1" t="s">
        <v>64</v>
      </c>
      <c r="C60" s="1" t="s">
        <v>65</v>
      </c>
      <c r="D60" s="1" t="s">
        <v>66</v>
      </c>
    </row>
    <row r="62" customFormat="false" ht="15" hidden="false" customHeight="true" outlineLevel="0" collapsed="false">
      <c r="A62" s="35" t="s">
        <v>67</v>
      </c>
    </row>
    <row r="63" customFormat="false" ht="15" hidden="false" customHeight="true" outlineLevel="0" collapsed="false">
      <c r="A63" s="35" t="s">
        <v>68</v>
      </c>
    </row>
    <row r="64" customFormat="false" ht="15" hidden="false" customHeight="true" outlineLevel="0" collapsed="false">
      <c r="A64" s="35" t="s">
        <v>69</v>
      </c>
    </row>
    <row r="66" customFormat="false" ht="15" hidden="false" customHeight="true" outlineLevel="0" collapsed="false">
      <c r="A66" s="32" t="s">
        <v>70</v>
      </c>
      <c r="B66" s="36"/>
      <c r="C66" s="36"/>
      <c r="D66" s="36"/>
    </row>
    <row r="67" customFormat="false" ht="15" hidden="false" customHeight="true" outlineLevel="0" collapsed="false">
      <c r="B67" s="33" t="s">
        <v>2</v>
      </c>
      <c r="C67" s="33" t="s">
        <v>3</v>
      </c>
      <c r="D67" s="33" t="s">
        <v>4</v>
      </c>
    </row>
    <row r="68" customFormat="false" ht="15" hidden="false" customHeight="true" outlineLevel="0" collapsed="false">
      <c r="A68" s="1" t="s">
        <v>71</v>
      </c>
      <c r="B68" s="1" t="s">
        <v>72</v>
      </c>
      <c r="C68" s="1" t="s">
        <v>73</v>
      </c>
      <c r="D68" s="1" t="s">
        <v>74</v>
      </c>
    </row>
    <row r="69" customFormat="false" ht="15" hidden="false" customHeight="true" outlineLevel="0" collapsed="false">
      <c r="A69" s="1" t="s">
        <v>75</v>
      </c>
      <c r="B69" s="1" t="s">
        <v>76</v>
      </c>
      <c r="C69" s="1" t="s">
        <v>77</v>
      </c>
      <c r="D69" s="1" t="s">
        <v>78</v>
      </c>
    </row>
    <row r="70" customFormat="false" ht="15" hidden="false" customHeight="true" outlineLevel="0" collapsed="false">
      <c r="A70" s="1" t="s">
        <v>79</v>
      </c>
      <c r="B70" s="1" t="s">
        <v>80</v>
      </c>
      <c r="C70" s="1" t="s">
        <v>81</v>
      </c>
      <c r="D70" s="1" t="s">
        <v>82</v>
      </c>
    </row>
    <row r="72" customFormat="false" ht="15" hidden="false" customHeight="true" outlineLevel="0" collapsed="false">
      <c r="A72" s="35" t="s">
        <v>83</v>
      </c>
    </row>
    <row r="73" customFormat="false" ht="15" hidden="false" customHeight="true" outlineLevel="0" collapsed="false">
      <c r="A73" s="35" t="s">
        <v>84</v>
      </c>
    </row>
    <row r="74" customFormat="false" ht="15" hidden="false" customHeight="true" outlineLevel="0" collapsed="false">
      <c r="A74" s="35" t="s">
        <v>85</v>
      </c>
    </row>
  </sheetData>
  <mergeCells count="2">
    <mergeCell ref="A1:E1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3D3F"/>
    <pageSetUpPr fitToPage="false"/>
  </sheetPr>
  <dimension ref="A1:B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0"/>
  </cols>
  <sheetData>
    <row r="1" customFormat="false" ht="15" hidden="false" customHeight="true" outlineLevel="0" collapsed="false">
      <c r="A1" s="37" t="s">
        <v>86</v>
      </c>
      <c r="B1" s="37"/>
    </row>
    <row r="2" customFormat="false" ht="15" hidden="false" customHeight="true" outlineLevel="0" collapsed="false">
      <c r="A2" s="38" t="s">
        <v>87</v>
      </c>
      <c r="B2" s="38"/>
    </row>
    <row r="4" customFormat="false" ht="15" hidden="false" customHeight="true" outlineLevel="0" collapsed="false">
      <c r="A4" s="39" t="s">
        <v>88</v>
      </c>
      <c r="B4" s="39" t="s">
        <v>89</v>
      </c>
    </row>
    <row r="5" customFormat="false" ht="15" hidden="false" customHeight="true" outlineLevel="0" collapsed="false">
      <c r="A5" s="40" t="s">
        <v>90</v>
      </c>
      <c r="B5" s="41" t="s">
        <v>91</v>
      </c>
    </row>
    <row r="6" customFormat="false" ht="15" hidden="false" customHeight="true" outlineLevel="0" collapsed="false">
      <c r="A6" s="42" t="s">
        <v>92</v>
      </c>
      <c r="B6" s="43" t="s">
        <v>93</v>
      </c>
    </row>
    <row r="7" customFormat="false" ht="15" hidden="false" customHeight="true" outlineLevel="0" collapsed="false">
      <c r="A7" s="40" t="s">
        <v>94</v>
      </c>
      <c r="B7" s="41" t="s">
        <v>95</v>
      </c>
    </row>
    <row r="8" customFormat="false" ht="15" hidden="false" customHeight="true" outlineLevel="0" collapsed="false">
      <c r="A8" s="42" t="s">
        <v>96</v>
      </c>
      <c r="B8" s="43" t="s">
        <v>97</v>
      </c>
    </row>
    <row r="9" customFormat="false" ht="15" hidden="false" customHeight="true" outlineLevel="0" collapsed="false">
      <c r="A9" s="40" t="s">
        <v>98</v>
      </c>
      <c r="B9" s="41" t="s">
        <v>99</v>
      </c>
    </row>
    <row r="10" customFormat="false" ht="15" hidden="false" customHeight="true" outlineLevel="0" collapsed="false">
      <c r="A10" s="42" t="s">
        <v>100</v>
      </c>
      <c r="B10" s="43" t="s">
        <v>101</v>
      </c>
    </row>
    <row r="11" customFormat="false" ht="15" hidden="false" customHeight="true" outlineLevel="0" collapsed="false">
      <c r="A11" s="40" t="s">
        <v>102</v>
      </c>
      <c r="B11" s="41" t="s">
        <v>103</v>
      </c>
    </row>
    <row r="12" customFormat="false" ht="15" hidden="false" customHeight="true" outlineLevel="0" collapsed="false">
      <c r="A12" s="42" t="s">
        <v>104</v>
      </c>
      <c r="B12" s="43" t="s">
        <v>105</v>
      </c>
    </row>
    <row r="13" customFormat="false" ht="15" hidden="false" customHeight="true" outlineLevel="0" collapsed="false">
      <c r="A13" s="40" t="s">
        <v>106</v>
      </c>
      <c r="B13" s="41" t="s">
        <v>107</v>
      </c>
    </row>
    <row r="14" customFormat="false" ht="15" hidden="false" customHeight="true" outlineLevel="0" collapsed="false">
      <c r="A14" s="42" t="s">
        <v>108</v>
      </c>
      <c r="B14" s="43" t="s">
        <v>109</v>
      </c>
    </row>
    <row r="15" customFormat="false" ht="15" hidden="false" customHeight="true" outlineLevel="0" collapsed="false">
      <c r="A15" s="40" t="s">
        <v>110</v>
      </c>
      <c r="B15" s="41" t="s">
        <v>111</v>
      </c>
    </row>
    <row r="16" customFormat="false" ht="15" hidden="false" customHeight="true" outlineLevel="0" collapsed="false">
      <c r="A16" s="42" t="s">
        <v>112</v>
      </c>
      <c r="B16" s="43" t="s">
        <v>113</v>
      </c>
    </row>
    <row r="18" customFormat="false" ht="15" hidden="false" customHeight="true" outlineLevel="0" collapsed="false">
      <c r="A18" s="44" t="s">
        <v>114</v>
      </c>
      <c r="B18" s="44"/>
    </row>
    <row r="19" customFormat="false" ht="15" hidden="false" customHeight="true" outlineLevel="0" collapsed="false">
      <c r="A19" s="40" t="s">
        <v>115</v>
      </c>
      <c r="B19" s="41" t="s">
        <v>116</v>
      </c>
    </row>
    <row r="20" customFormat="false" ht="15" hidden="false" customHeight="true" outlineLevel="0" collapsed="false">
      <c r="A20" s="42" t="s">
        <v>117</v>
      </c>
      <c r="B20" s="43" t="s">
        <v>118</v>
      </c>
    </row>
    <row r="21" customFormat="false" ht="15" hidden="false" customHeight="true" outlineLevel="0" collapsed="false">
      <c r="A21" s="40" t="s">
        <v>119</v>
      </c>
      <c r="B21" s="41" t="s">
        <v>120</v>
      </c>
    </row>
    <row r="22" customFormat="false" ht="15" hidden="false" customHeight="true" outlineLevel="0" collapsed="false">
      <c r="A22" s="42" t="s">
        <v>121</v>
      </c>
      <c r="B22" s="43" t="s">
        <v>122</v>
      </c>
    </row>
    <row r="24" customFormat="false" ht="15" hidden="false" customHeight="true" outlineLevel="0" collapsed="false">
      <c r="A24" s="44" t="s">
        <v>123</v>
      </c>
      <c r="B24" s="44"/>
    </row>
    <row r="25" customFormat="false" ht="15" hidden="false" customHeight="true" outlineLevel="0" collapsed="false">
      <c r="A25" s="40" t="s">
        <v>124</v>
      </c>
      <c r="B25" s="41" t="s">
        <v>125</v>
      </c>
    </row>
    <row r="26" customFormat="false" ht="15" hidden="false" customHeight="true" outlineLevel="0" collapsed="false">
      <c r="A26" s="42" t="s">
        <v>126</v>
      </c>
      <c r="B26" s="43" t="s">
        <v>127</v>
      </c>
    </row>
    <row r="27" customFormat="false" ht="15" hidden="false" customHeight="true" outlineLevel="0" collapsed="false">
      <c r="A27" s="40" t="s">
        <v>128</v>
      </c>
      <c r="B27" s="41" t="s">
        <v>129</v>
      </c>
    </row>
    <row r="28" customFormat="false" ht="15" hidden="false" customHeight="true" outlineLevel="0" collapsed="false">
      <c r="A28" s="42" t="s">
        <v>130</v>
      </c>
      <c r="B28" s="43" t="s">
        <v>131</v>
      </c>
    </row>
    <row r="29" customFormat="false" ht="15" hidden="false" customHeight="true" outlineLevel="0" collapsed="false">
      <c r="A29" s="40" t="s">
        <v>132</v>
      </c>
      <c r="B29" s="41" t="s">
        <v>133</v>
      </c>
    </row>
    <row r="30" customFormat="false" ht="15" hidden="false" customHeight="true" outlineLevel="0" collapsed="false">
      <c r="A30" s="42" t="s">
        <v>134</v>
      </c>
      <c r="B30" s="43" t="s">
        <v>135</v>
      </c>
    </row>
    <row r="31" customFormat="false" ht="15" hidden="false" customHeight="true" outlineLevel="0" collapsed="false">
      <c r="A31" s="40" t="s">
        <v>136</v>
      </c>
      <c r="B31" s="41" t="s">
        <v>137</v>
      </c>
    </row>
    <row r="32" customFormat="false" ht="15" hidden="false" customHeight="true" outlineLevel="0" collapsed="false">
      <c r="A32" s="42" t="s">
        <v>138</v>
      </c>
      <c r="B32" s="43" t="s">
        <v>139</v>
      </c>
    </row>
    <row r="33" customFormat="false" ht="15" hidden="false" customHeight="true" outlineLevel="0" collapsed="false">
      <c r="A33" s="40" t="s">
        <v>140</v>
      </c>
      <c r="B33" s="41" t="s">
        <v>141</v>
      </c>
    </row>
    <row r="35" customFormat="false" ht="15" hidden="false" customHeight="true" outlineLevel="0" collapsed="false">
      <c r="A35" s="44" t="s">
        <v>142</v>
      </c>
      <c r="B35" s="44"/>
    </row>
    <row r="36" customFormat="false" ht="15" hidden="false" customHeight="true" outlineLevel="0" collapsed="false">
      <c r="A36" s="42" t="s">
        <v>143</v>
      </c>
      <c r="B36" s="43" t="s">
        <v>144</v>
      </c>
    </row>
    <row r="37" customFormat="false" ht="15" hidden="false" customHeight="true" outlineLevel="0" collapsed="false">
      <c r="A37" s="40" t="s">
        <v>145</v>
      </c>
      <c r="B37" s="41" t="s">
        <v>146</v>
      </c>
    </row>
    <row r="38" customFormat="false" ht="15" hidden="false" customHeight="true" outlineLevel="0" collapsed="false">
      <c r="A38" s="42" t="s">
        <v>147</v>
      </c>
      <c r="B38" s="43" t="s">
        <v>148</v>
      </c>
    </row>
    <row r="39" customFormat="false" ht="15" hidden="false" customHeight="true" outlineLevel="0" collapsed="false">
      <c r="A39" s="40" t="s">
        <v>149</v>
      </c>
      <c r="B39" s="41" t="s">
        <v>150</v>
      </c>
    </row>
    <row r="41" customFormat="false" ht="15" hidden="false" customHeight="true" outlineLevel="0" collapsed="false">
      <c r="A41" s="44" t="s">
        <v>151</v>
      </c>
      <c r="B41" s="44"/>
    </row>
    <row r="42" customFormat="false" ht="15" hidden="false" customHeight="true" outlineLevel="0" collapsed="false">
      <c r="A42" s="42" t="s">
        <v>152</v>
      </c>
      <c r="B42" s="43" t="s">
        <v>153</v>
      </c>
    </row>
    <row r="43" customFormat="false" ht="15" hidden="false" customHeight="true" outlineLevel="0" collapsed="false">
      <c r="A43" s="40" t="s">
        <v>154</v>
      </c>
      <c r="B43" s="41" t="s">
        <v>155</v>
      </c>
    </row>
    <row r="44" customFormat="false" ht="15" hidden="false" customHeight="true" outlineLevel="0" collapsed="false">
      <c r="A44" s="42" t="s">
        <v>156</v>
      </c>
      <c r="B44" s="43" t="s">
        <v>157</v>
      </c>
    </row>
    <row r="45" customFormat="false" ht="15" hidden="false" customHeight="true" outlineLevel="0" collapsed="false">
      <c r="A45" s="40" t="s">
        <v>158</v>
      </c>
      <c r="B45" s="41" t="s">
        <v>159</v>
      </c>
    </row>
  </sheetData>
  <mergeCells count="6">
    <mergeCell ref="A1:B1"/>
    <mergeCell ref="A2:B2"/>
    <mergeCell ref="A18:B18"/>
    <mergeCell ref="A24:B24"/>
    <mergeCell ref="A35:B35"/>
    <mergeCell ref="A41:B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3D3F"/>
    <pageSetUpPr fitToPage="fals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45" t="s">
        <v>160</v>
      </c>
      <c r="B1" s="46"/>
      <c r="C1" s="46"/>
      <c r="D1" s="46"/>
    </row>
    <row r="2" customFormat="false" ht="13.5" hidden="false" customHeight="true" outlineLevel="0" collapsed="false">
      <c r="A2" s="7" t="s">
        <v>161</v>
      </c>
    </row>
    <row r="4" customFormat="false" ht="18" hidden="false" customHeight="true" outlineLevel="0" collapsed="false">
      <c r="A4" s="18" t="s">
        <v>162</v>
      </c>
      <c r="B4" s="36"/>
      <c r="C4" s="36"/>
      <c r="D4" s="36"/>
    </row>
    <row r="5" customFormat="false" ht="16.5" hidden="false" customHeight="true" outlineLevel="0" collapsed="false">
      <c r="A5" s="23" t="s">
        <v>163</v>
      </c>
      <c r="B5" s="47" t="n">
        <v>599</v>
      </c>
      <c r="D5" s="48" t="s">
        <v>164</v>
      </c>
    </row>
    <row r="6" customFormat="false" ht="16.5" hidden="false" customHeight="true" outlineLevel="0" collapsed="false">
      <c r="A6" s="49" t="s">
        <v>165</v>
      </c>
      <c r="B6" s="50" t="n">
        <v>299</v>
      </c>
      <c r="C6" s="51"/>
      <c r="D6" s="52" t="s">
        <v>166</v>
      </c>
    </row>
    <row r="7" customFormat="false" ht="16.5" hidden="false" customHeight="true" outlineLevel="0" collapsed="false">
      <c r="A7" s="23" t="s">
        <v>167</v>
      </c>
      <c r="B7" s="47" t="n">
        <f aca="false">'Realistic Assumptions'!$B$5*(1-'Realistic Assumptions'!$B$8)</f>
        <v>539.1</v>
      </c>
      <c r="D7" s="48" t="s">
        <v>168</v>
      </c>
    </row>
    <row r="8" customFormat="false" ht="16.5" hidden="false" customHeight="true" outlineLevel="0" collapsed="false">
      <c r="A8" s="49" t="s">
        <v>169</v>
      </c>
      <c r="B8" s="53" t="n">
        <v>0.1</v>
      </c>
      <c r="C8" s="51"/>
      <c r="D8" s="52" t="s">
        <v>170</v>
      </c>
    </row>
    <row r="9" customFormat="false" ht="16.5" hidden="false" customHeight="true" outlineLevel="0" collapsed="false">
      <c r="A9" s="23" t="s">
        <v>171</v>
      </c>
      <c r="B9" s="54" t="n">
        <v>0.26</v>
      </c>
      <c r="D9" s="48" t="s">
        <v>172</v>
      </c>
    </row>
    <row r="10" customFormat="false" ht="16.5" hidden="false" customHeight="true" outlineLevel="0" collapsed="false">
      <c r="A10" s="49" t="s">
        <v>173</v>
      </c>
      <c r="B10" s="53" t="n">
        <v>0.13</v>
      </c>
      <c r="C10" s="51"/>
      <c r="D10" s="52" t="s">
        <v>174</v>
      </c>
    </row>
    <row r="11" customFormat="false" ht="16.5" hidden="false" customHeight="true" outlineLevel="0" collapsed="false">
      <c r="A11" s="18" t="s">
        <v>175</v>
      </c>
      <c r="B11" s="55" t="n">
        <v>0.2</v>
      </c>
      <c r="C11" s="36"/>
      <c r="D11" s="56" t="s">
        <v>176</v>
      </c>
    </row>
    <row r="12" customFormat="false" ht="16.5" hidden="false" customHeight="true" outlineLevel="0" collapsed="false">
      <c r="A12" s="18" t="s">
        <v>177</v>
      </c>
      <c r="B12" s="55" t="n">
        <v>0.05</v>
      </c>
      <c r="C12" s="36"/>
      <c r="D12" s="56" t="s">
        <v>178</v>
      </c>
    </row>
    <row r="13" customFormat="false" ht="16.5" hidden="false" customHeight="true" outlineLevel="0" collapsed="false">
      <c r="A13" s="23" t="s">
        <v>179</v>
      </c>
      <c r="B13" s="54" t="n">
        <v>0.375</v>
      </c>
      <c r="D13" s="48" t="s">
        <v>180</v>
      </c>
    </row>
    <row r="14" customFormat="false" ht="16.5" hidden="false" customHeight="true" outlineLevel="0" collapsed="false">
      <c r="A14" s="49" t="s">
        <v>181</v>
      </c>
      <c r="B14" s="50" t="n">
        <v>5</v>
      </c>
      <c r="C14" s="51"/>
      <c r="D14" s="52" t="s">
        <v>182</v>
      </c>
    </row>
    <row r="16" customFormat="false" ht="18" hidden="false" customHeight="true" outlineLevel="0" collapsed="false">
      <c r="A16" s="18" t="s">
        <v>183</v>
      </c>
      <c r="B16" s="36"/>
      <c r="C16" s="36"/>
      <c r="D16" s="36"/>
    </row>
    <row r="17" customFormat="false" ht="13.5" hidden="false" customHeight="true" outlineLevel="0" collapsed="false">
      <c r="A17" s="12" t="s">
        <v>184</v>
      </c>
    </row>
    <row r="18" customFormat="false" ht="16.5" hidden="false" customHeight="true" outlineLevel="0" collapsed="false">
      <c r="A18" s="49" t="s">
        <v>185</v>
      </c>
      <c r="B18" s="50" t="n">
        <v>499</v>
      </c>
      <c r="C18" s="57"/>
      <c r="D18" s="52" t="s">
        <v>186</v>
      </c>
    </row>
    <row r="19" customFormat="false" ht="16.5" hidden="false" customHeight="true" outlineLevel="0" collapsed="false">
      <c r="A19" s="23" t="s">
        <v>187</v>
      </c>
      <c r="B19" s="54" t="n">
        <v>0.25</v>
      </c>
      <c r="D19" s="48" t="s">
        <v>188</v>
      </c>
    </row>
    <row r="20" customFormat="false" ht="16.5" hidden="false" customHeight="true" outlineLevel="0" collapsed="false">
      <c r="A20" s="49" t="s">
        <v>189</v>
      </c>
      <c r="B20" s="50" t="n">
        <v>599</v>
      </c>
      <c r="C20" s="57"/>
      <c r="D20" s="52" t="s">
        <v>190</v>
      </c>
    </row>
    <row r="21" customFormat="false" ht="16.5" hidden="false" customHeight="true" outlineLevel="0" collapsed="false">
      <c r="A21" s="23" t="s">
        <v>191</v>
      </c>
      <c r="B21" s="54" t="n">
        <v>0.6</v>
      </c>
      <c r="D21" s="48" t="s">
        <v>192</v>
      </c>
    </row>
    <row r="22" customFormat="false" ht="16.5" hidden="false" customHeight="true" outlineLevel="0" collapsed="false">
      <c r="A22" s="49" t="s">
        <v>193</v>
      </c>
      <c r="B22" s="50" t="n">
        <v>749</v>
      </c>
      <c r="C22" s="57"/>
      <c r="D22" s="52" t="s">
        <v>194</v>
      </c>
    </row>
    <row r="23" customFormat="false" ht="16.5" hidden="false" customHeight="true" outlineLevel="0" collapsed="false">
      <c r="A23" s="23" t="s">
        <v>195</v>
      </c>
      <c r="B23" s="54" t="n">
        <v>0.15</v>
      </c>
      <c r="D23" s="48" t="s">
        <v>196</v>
      </c>
    </row>
    <row r="24" customFormat="false" ht="16.5" hidden="false" customHeight="true" outlineLevel="0" collapsed="false">
      <c r="A24" s="49" t="s">
        <v>197</v>
      </c>
      <c r="B24" s="50" t="n">
        <f aca="false">'Realistic Assumptions'!$B$18*'Realistic Assumptions'!$B$19+'Realistic Assumptions'!$B$20*'Realistic Assumptions'!$B$21+'Realistic Assumptions'!$B$22*'Realistic Assumptions'!$B$23</f>
        <v>596.5</v>
      </c>
      <c r="C24" s="51"/>
      <c r="D24" s="52" t="s">
        <v>198</v>
      </c>
    </row>
    <row r="26" customFormat="false" ht="18" hidden="false" customHeight="true" outlineLevel="0" collapsed="false">
      <c r="A26" s="18" t="s">
        <v>199</v>
      </c>
      <c r="B26" s="36"/>
      <c r="C26" s="36"/>
      <c r="D26" s="36"/>
    </row>
    <row r="27" customFormat="false" ht="15.75" hidden="false" customHeight="true" outlineLevel="0" collapsed="false">
      <c r="A27" s="23" t="s">
        <v>200</v>
      </c>
      <c r="B27" s="47" t="n">
        <v>2</v>
      </c>
      <c r="D27" s="48" t="s">
        <v>201</v>
      </c>
    </row>
    <row r="28" customFormat="false" ht="15.75" hidden="false" customHeight="true" outlineLevel="0" collapsed="false">
      <c r="A28" s="49" t="s">
        <v>202</v>
      </c>
      <c r="B28" s="50" t="n">
        <v>1</v>
      </c>
      <c r="C28" s="51"/>
      <c r="D28" s="52" t="s">
        <v>203</v>
      </c>
    </row>
    <row r="29" customFormat="false" ht="15.75" hidden="false" customHeight="true" outlineLevel="0" collapsed="false">
      <c r="A29" s="23" t="s">
        <v>204</v>
      </c>
      <c r="B29" s="47" t="n">
        <v>0</v>
      </c>
      <c r="D29" s="48" t="s">
        <v>205</v>
      </c>
    </row>
    <row r="30" customFormat="false" ht="15.75" hidden="false" customHeight="true" outlineLevel="0" collapsed="false">
      <c r="A30" s="49" t="s">
        <v>206</v>
      </c>
      <c r="B30" s="50" t="n">
        <v>165</v>
      </c>
      <c r="C30" s="51"/>
      <c r="D30" s="52" t="s">
        <v>207</v>
      </c>
    </row>
    <row r="31" customFormat="false" ht="15.75" hidden="false" customHeight="true" outlineLevel="0" collapsed="false">
      <c r="A31" s="23" t="s">
        <v>208</v>
      </c>
      <c r="B31" s="47" t="n">
        <v>26</v>
      </c>
      <c r="D31" s="48" t="s">
        <v>209</v>
      </c>
    </row>
    <row r="32" customFormat="false" ht="15.75" hidden="false" customHeight="true" outlineLevel="0" collapsed="false">
      <c r="A32" s="49" t="s">
        <v>210</v>
      </c>
      <c r="B32" s="53" t="n">
        <v>0.015</v>
      </c>
      <c r="C32" s="51"/>
      <c r="D32" s="52" t="s">
        <v>211</v>
      </c>
    </row>
    <row r="33" customFormat="false" ht="15.75" hidden="false" customHeight="true" outlineLevel="0" collapsed="false">
      <c r="A33" s="23" t="s">
        <v>212</v>
      </c>
      <c r="B33" s="47" t="n">
        <v>0.3</v>
      </c>
      <c r="D33" s="48" t="s">
        <v>213</v>
      </c>
    </row>
    <row r="34" customFormat="false" ht="18" hidden="false" customHeight="true" outlineLevel="0" collapsed="false">
      <c r="A34" s="18" t="s">
        <v>214</v>
      </c>
      <c r="B34" s="36"/>
      <c r="C34" s="36"/>
      <c r="D34" s="36"/>
    </row>
    <row r="35" customFormat="false" ht="13.5" hidden="false" customHeight="true" outlineLevel="0" collapsed="false">
      <c r="A35" s="12" t="s">
        <v>215</v>
      </c>
    </row>
    <row r="36" customFormat="false" ht="16.5" hidden="false" customHeight="true" outlineLevel="0" collapsed="false">
      <c r="A36" s="49" t="s">
        <v>216</v>
      </c>
      <c r="B36" s="50" t="n">
        <v>90</v>
      </c>
      <c r="C36" s="58"/>
      <c r="D36" s="52" t="s">
        <v>217</v>
      </c>
    </row>
    <row r="37" customFormat="false" ht="16.5" hidden="false" customHeight="true" outlineLevel="0" collapsed="false">
      <c r="A37" s="23" t="s">
        <v>218</v>
      </c>
      <c r="B37" s="59" t="n">
        <v>0</v>
      </c>
      <c r="C37" s="58"/>
      <c r="D37" s="48" t="s">
        <v>219</v>
      </c>
    </row>
    <row r="38" customFormat="false" ht="16.5" hidden="false" customHeight="true" outlineLevel="0" collapsed="false">
      <c r="A38" s="49" t="s">
        <v>220</v>
      </c>
      <c r="B38" s="60" t="n">
        <v>4</v>
      </c>
      <c r="C38" s="58"/>
      <c r="D38" s="52" t="s">
        <v>221</v>
      </c>
    </row>
    <row r="39" customFormat="false" ht="16.5" hidden="false" customHeight="true" outlineLevel="0" collapsed="false">
      <c r="A39" s="23" t="s">
        <v>222</v>
      </c>
      <c r="B39" s="59" t="n">
        <v>6</v>
      </c>
      <c r="C39" s="58"/>
      <c r="D39" s="48" t="s">
        <v>223</v>
      </c>
    </row>
    <row r="40" customFormat="false" ht="16.5" hidden="false" customHeight="true" outlineLevel="0" collapsed="false">
      <c r="A40" s="49" t="s">
        <v>224</v>
      </c>
      <c r="B40" s="50" t="n">
        <f aca="false">'Realistic Assumptions'!$B$37*'Realistic Assumptions'!$B$36</f>
        <v>0</v>
      </c>
      <c r="C40" s="51"/>
      <c r="D40" s="52" t="s">
        <v>225</v>
      </c>
    </row>
    <row r="41" customFormat="false" ht="16.5" hidden="false" customHeight="true" outlineLevel="0" collapsed="false">
      <c r="A41" s="23" t="s">
        <v>226</v>
      </c>
      <c r="B41" s="47" t="n">
        <f aca="false">'Realistic Assumptions'!$B$38*'Realistic Assumptions'!$B$36</f>
        <v>360</v>
      </c>
      <c r="D41" s="48" t="s">
        <v>227</v>
      </c>
    </row>
    <row r="42" customFormat="false" ht="16.5" hidden="false" customHeight="true" outlineLevel="0" collapsed="false">
      <c r="A42" s="49" t="s">
        <v>228</v>
      </c>
      <c r="B42" s="50" t="n">
        <f aca="false">'Realistic Assumptions'!$B$39*'Realistic Assumptions'!$B$36</f>
        <v>540</v>
      </c>
      <c r="C42" s="51"/>
      <c r="D42" s="52" t="s">
        <v>229</v>
      </c>
    </row>
    <row r="43" customFormat="false" ht="16.5" hidden="false" customHeight="true" outlineLevel="0" collapsed="false">
      <c r="A43" s="23" t="s">
        <v>230</v>
      </c>
      <c r="B43" s="47" t="n">
        <f aca="false">'Realistic Assumptions'!$B$19*'Realistic Assumptions'!$B$40+'Realistic Assumptions'!$B$21*'Realistic Assumptions'!$B$41+'Realistic Assumptions'!$B$23*'Realistic Assumptions'!$B$42</f>
        <v>297</v>
      </c>
      <c r="D43" s="48" t="s">
        <v>231</v>
      </c>
    </row>
    <row r="44" customFormat="false" ht="15" hidden="false" customHeight="true" outlineLevel="0" collapsed="false">
      <c r="D44" s="33" t="s">
        <v>232</v>
      </c>
    </row>
    <row r="45" customFormat="false" ht="18" hidden="false" customHeight="true" outlineLevel="0" collapsed="false">
      <c r="A45" s="18" t="s">
        <v>233</v>
      </c>
      <c r="B45" s="36"/>
      <c r="C45" s="36"/>
      <c r="D45" s="61" t="s">
        <v>234</v>
      </c>
    </row>
    <row r="46" customFormat="false" ht="16.5" hidden="false" customHeight="true" outlineLevel="0" collapsed="false">
      <c r="A46" s="18" t="s">
        <v>235</v>
      </c>
      <c r="B46" s="62" t="n">
        <v>159</v>
      </c>
      <c r="C46" s="36"/>
      <c r="D46" s="63" t="s">
        <v>236</v>
      </c>
    </row>
    <row r="47" customFormat="false" ht="16.5" hidden="false" customHeight="true" outlineLevel="0" collapsed="false">
      <c r="A47" s="18" t="s">
        <v>237</v>
      </c>
      <c r="B47" s="62" t="n">
        <v>600</v>
      </c>
      <c r="C47" s="36"/>
      <c r="D47" s="63" t="s">
        <v>238</v>
      </c>
    </row>
    <row r="48" customFormat="false" ht="16.5" hidden="false" customHeight="true" outlineLevel="0" collapsed="false">
      <c r="A48" s="18" t="s">
        <v>239</v>
      </c>
      <c r="B48" s="62" t="n">
        <v>1800</v>
      </c>
      <c r="C48" s="36"/>
      <c r="D48" s="63" t="s">
        <v>240</v>
      </c>
    </row>
    <row r="49" customFormat="false" ht="16.5" hidden="false" customHeight="true" outlineLevel="0" collapsed="false">
      <c r="A49" s="23" t="s">
        <v>241</v>
      </c>
      <c r="B49" s="54" t="n">
        <v>0.07</v>
      </c>
      <c r="D49" s="64" t="s">
        <v>242</v>
      </c>
    </row>
    <row r="50" customFormat="false" ht="16.5" hidden="false" customHeight="true" outlineLevel="0" collapsed="false">
      <c r="A50" s="49" t="s">
        <v>243</v>
      </c>
      <c r="B50" s="53" t="n">
        <v>0.07</v>
      </c>
      <c r="C50" s="57"/>
      <c r="D50" s="65" t="s">
        <v>244</v>
      </c>
    </row>
    <row r="51" customFormat="false" ht="16.5" hidden="false" customHeight="true" outlineLevel="0" collapsed="false">
      <c r="A51" s="23" t="s">
        <v>245</v>
      </c>
      <c r="B51" s="54" t="n">
        <v>0.07</v>
      </c>
      <c r="D51" s="64" t="s">
        <v>246</v>
      </c>
    </row>
    <row r="52" customFormat="false" ht="16.5" hidden="false" customHeight="true" outlineLevel="0" collapsed="false">
      <c r="A52" s="49" t="s">
        <v>247</v>
      </c>
      <c r="B52" s="53" t="n">
        <v>0.15</v>
      </c>
      <c r="C52" s="57"/>
      <c r="D52" s="66"/>
    </row>
    <row r="53" customFormat="false" ht="16.5" hidden="false" customHeight="true" outlineLevel="0" collapsed="false">
      <c r="A53" s="23" t="s">
        <v>248</v>
      </c>
      <c r="B53" s="54" t="n">
        <v>0.25</v>
      </c>
      <c r="D53" s="67" t="s">
        <v>249</v>
      </c>
    </row>
    <row r="54" customFormat="false" ht="16.5" hidden="false" customHeight="true" outlineLevel="0" collapsed="false">
      <c r="A54" s="49" t="s">
        <v>250</v>
      </c>
      <c r="B54" s="53" t="n">
        <v>0.35</v>
      </c>
      <c r="C54" s="57"/>
      <c r="D54" s="68" t="s">
        <v>251</v>
      </c>
    </row>
    <row r="55" customFormat="false" ht="16.5" hidden="false" customHeight="true" outlineLevel="0" collapsed="false">
      <c r="A55" s="23" t="s">
        <v>252</v>
      </c>
      <c r="B55" s="54" t="n">
        <v>0.08</v>
      </c>
      <c r="D55" s="67" t="s">
        <v>253</v>
      </c>
    </row>
    <row r="56" customFormat="false" ht="16.5" hidden="false" customHeight="true" outlineLevel="0" collapsed="false">
      <c r="A56" s="49" t="s">
        <v>254</v>
      </c>
      <c r="B56" s="53" t="n">
        <v>0.12</v>
      </c>
      <c r="C56" s="57"/>
      <c r="D56" s="69"/>
    </row>
    <row r="57" customFormat="false" ht="16.5" hidden="false" customHeight="true" outlineLevel="0" collapsed="false">
      <c r="A57" s="23" t="s">
        <v>255</v>
      </c>
      <c r="B57" s="54" t="n">
        <v>0.15</v>
      </c>
      <c r="D57" s="70"/>
    </row>
    <row r="58" customFormat="false" ht="16.5" hidden="false" customHeight="true" outlineLevel="0" collapsed="false">
      <c r="A58" s="49" t="s">
        <v>256</v>
      </c>
      <c r="B58" s="53" t="n">
        <v>0.1</v>
      </c>
      <c r="C58" s="57"/>
      <c r="D58" s="52" t="s">
        <v>257</v>
      </c>
    </row>
    <row r="60" customFormat="false" ht="18" hidden="false" customHeight="true" outlineLevel="0" collapsed="false">
      <c r="A60" s="18" t="s">
        <v>258</v>
      </c>
      <c r="B60" s="36"/>
      <c r="C60" s="36"/>
      <c r="D60" s="36"/>
    </row>
    <row r="61" customFormat="false" ht="15.75" hidden="false" customHeight="true" outlineLevel="0" collapsed="false">
      <c r="A61" s="23" t="s">
        <v>259</v>
      </c>
      <c r="B61" s="47" t="n">
        <v>1800</v>
      </c>
      <c r="D61" s="48" t="s">
        <v>260</v>
      </c>
    </row>
    <row r="62" customFormat="false" ht="15.75" hidden="false" customHeight="true" outlineLevel="0" collapsed="false">
      <c r="A62" s="49" t="s">
        <v>261</v>
      </c>
      <c r="B62" s="50" t="n">
        <v>3600</v>
      </c>
      <c r="C62" s="51"/>
      <c r="D62" s="71"/>
    </row>
    <row r="63" customFormat="false" ht="15.75" hidden="false" customHeight="true" outlineLevel="0" collapsed="false">
      <c r="A63" s="23" t="s">
        <v>262</v>
      </c>
      <c r="B63" s="47" t="n">
        <v>6000</v>
      </c>
      <c r="D63" s="70"/>
    </row>
    <row r="64" customFormat="false" ht="15.75" hidden="false" customHeight="true" outlineLevel="0" collapsed="false">
      <c r="A64" s="49" t="s">
        <v>263</v>
      </c>
      <c r="B64" s="72" t="n">
        <v>960</v>
      </c>
      <c r="C64" s="51"/>
      <c r="D64" s="52" t="s">
        <v>264</v>
      </c>
    </row>
    <row r="65" customFormat="false" ht="15.75" hidden="false" customHeight="true" outlineLevel="0" collapsed="false">
      <c r="A65" s="23" t="s">
        <v>265</v>
      </c>
      <c r="B65" s="73" t="n">
        <v>200</v>
      </c>
      <c r="D65" s="64" t="s">
        <v>266</v>
      </c>
    </row>
    <row r="66" customFormat="false" ht="15.75" hidden="false" customHeight="true" outlineLevel="0" collapsed="false">
      <c r="A66" s="49" t="s">
        <v>267</v>
      </c>
      <c r="B66" s="72" t="n">
        <v>3300</v>
      </c>
      <c r="C66" s="51"/>
      <c r="D66" s="52" t="s">
        <v>268</v>
      </c>
    </row>
    <row r="67" customFormat="false" ht="15" hidden="false" customHeight="true" outlineLevel="0" collapsed="false">
      <c r="A67" s="12" t="s">
        <v>269</v>
      </c>
      <c r="B67" s="74" t="n">
        <v>500</v>
      </c>
      <c r="D67" s="7" t="s">
        <v>270</v>
      </c>
    </row>
    <row r="68" customFormat="false" ht="15" hidden="false" customHeight="true" outlineLevel="0" collapsed="false">
      <c r="A68" s="75" t="s">
        <v>271</v>
      </c>
      <c r="B68" s="76" t="n">
        <v>13500</v>
      </c>
      <c r="D68" s="77" t="s">
        <v>272</v>
      </c>
    </row>
    <row r="69" customFormat="false" ht="15" hidden="false" customHeight="true" outlineLevel="0" collapsed="false">
      <c r="A69" s="12" t="s">
        <v>273</v>
      </c>
      <c r="B69" s="78" t="n">
        <v>55000</v>
      </c>
      <c r="D69" s="7" t="s">
        <v>274</v>
      </c>
    </row>
    <row r="70" customFormat="false" ht="15" hidden="false" customHeight="true" outlineLevel="0" collapsed="false">
      <c r="A70" s="75" t="s">
        <v>275</v>
      </c>
      <c r="B70" s="76" t="n">
        <v>168000</v>
      </c>
      <c r="D70" s="77" t="s">
        <v>276</v>
      </c>
    </row>
    <row r="71" customFormat="false" ht="15" hidden="false" customHeight="true" outlineLevel="0" collapsed="false">
      <c r="A71" s="12" t="s">
        <v>277</v>
      </c>
      <c r="B71" s="74" t="n">
        <v>1740</v>
      </c>
      <c r="D71" s="7" t="s">
        <v>278</v>
      </c>
    </row>
    <row r="72" customFormat="false" ht="15" hidden="false" customHeight="true" outlineLevel="0" collapsed="false">
      <c r="A72" s="12" t="s">
        <v>279</v>
      </c>
      <c r="B72" s="74" t="n">
        <v>86250</v>
      </c>
      <c r="D72" s="7" t="s">
        <v>280</v>
      </c>
    </row>
    <row r="73" customFormat="false" ht="15" hidden="false" customHeight="true" outlineLevel="0" collapsed="false">
      <c r="A73" s="8" t="s">
        <v>281</v>
      </c>
      <c r="B73" s="36"/>
      <c r="C73" s="36"/>
      <c r="D73" s="36"/>
    </row>
    <row r="74" customFormat="false" ht="15" hidden="false" customHeight="true" outlineLevel="0" collapsed="false">
      <c r="A74" s="12" t="s">
        <v>282</v>
      </c>
      <c r="D74" s="7" t="s">
        <v>283</v>
      </c>
    </row>
    <row r="75" customFormat="false" ht="15" hidden="false" customHeight="true" outlineLevel="0" collapsed="false">
      <c r="A75" s="75" t="s">
        <v>284</v>
      </c>
      <c r="D75" s="77" t="s">
        <v>285</v>
      </c>
    </row>
    <row r="76" customFormat="false" ht="15" hidden="false" customHeight="true" outlineLevel="0" collapsed="false">
      <c r="A76" s="12" t="s">
        <v>286</v>
      </c>
      <c r="D76" s="7" t="s">
        <v>287</v>
      </c>
    </row>
    <row r="77" customFormat="false" ht="15" hidden="false" customHeight="true" outlineLevel="0" collapsed="false">
      <c r="A77" s="75" t="s">
        <v>288</v>
      </c>
      <c r="D77" s="77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7840"/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  <col collapsed="false" customWidth="true" hidden="false" outlineLevel="0" max="7" min="7" style="1" width="30"/>
  </cols>
  <sheetData>
    <row r="1" customFormat="false" ht="31.5" hidden="false" customHeight="true" outlineLevel="0" collapsed="false">
      <c r="A1" s="45" t="s">
        <v>290</v>
      </c>
      <c r="B1" s="46"/>
      <c r="C1" s="46"/>
      <c r="D1" s="46"/>
      <c r="E1" s="46"/>
      <c r="F1" s="46"/>
      <c r="G1" s="46"/>
    </row>
    <row r="3" customFormat="false" ht="30" hidden="false" customHeight="true" outlineLevel="0" collapsed="false">
      <c r="A3" s="79"/>
      <c r="B3" s="80" t="s">
        <v>291</v>
      </c>
      <c r="C3" s="80" t="s">
        <v>292</v>
      </c>
      <c r="D3" s="80" t="s">
        <v>293</v>
      </c>
      <c r="E3" s="80" t="s">
        <v>294</v>
      </c>
      <c r="F3" s="80" t="s">
        <v>295</v>
      </c>
      <c r="G3" s="80" t="s">
        <v>296</v>
      </c>
    </row>
    <row r="4" customFormat="false" ht="18" hidden="false" customHeight="true" outlineLevel="0" collapsed="false">
      <c r="A4" s="18" t="s">
        <v>297</v>
      </c>
      <c r="B4" s="36"/>
      <c r="C4" s="36"/>
      <c r="D4" s="36"/>
      <c r="E4" s="36"/>
      <c r="F4" s="36"/>
      <c r="G4" s="36"/>
    </row>
    <row r="5" customFormat="false" ht="15.75" hidden="false" customHeight="true" outlineLevel="0" collapsed="false">
      <c r="A5" s="23" t="s">
        <v>298</v>
      </c>
      <c r="B5" s="81" t="n">
        <f aca="false">'Realistic Assumptions'!$B$5</f>
        <v>599</v>
      </c>
      <c r="C5" s="81" t="n">
        <f aca="false">'Realistic Assumptions'!$B$6</f>
        <v>299</v>
      </c>
      <c r="D5" s="81" t="n">
        <f aca="false">'Realistic Assumptions'!$B$7</f>
        <v>539.1</v>
      </c>
      <c r="E5" s="81" t="n">
        <f aca="false">'Realistic Assumptions'!$B$5</f>
        <v>599</v>
      </c>
      <c r="F5" s="81" t="n">
        <f aca="false">0</f>
        <v>0</v>
      </c>
      <c r="G5" s="82" t="s">
        <v>299</v>
      </c>
    </row>
    <row r="6" customFormat="false" ht="15.75" hidden="false" customHeight="true" outlineLevel="0" collapsed="false">
      <c r="A6" s="18" t="s">
        <v>300</v>
      </c>
      <c r="B6" s="83" t="n">
        <f aca="false">ROUND('Realistic Assumptions'!$B$30/(1-'Realistic Assumptions'!$B$9),0)</f>
        <v>223</v>
      </c>
      <c r="C6" s="83" t="n">
        <f aca="false">ROUND('Realistic Assumptions'!$B$30/(1-'Realistic Assumptions'!$B$9),0)</f>
        <v>223</v>
      </c>
      <c r="D6" s="83" t="n">
        <f aca="false">ROUND('Realistic Assumptions'!$B$30/(1-'Realistic Assumptions'!$B$9),0)</f>
        <v>223</v>
      </c>
      <c r="E6" s="83" t="n">
        <f aca="false">ROUND(('Realistic Assumptions'!$B$30+'Realistic Assumptions'!$B$31)/(1-'Realistic Assumptions'!$B$9)*(1+'Realistic Assumptions'!$B$13),0)</f>
        <v>355</v>
      </c>
      <c r="F6" s="83" t="n">
        <f aca="false">ROUND('Realistic Assumptions'!$B$30/(1-'Realistic Assumptions'!$B$10),0)</f>
        <v>190</v>
      </c>
      <c r="G6" s="56" t="s">
        <v>301</v>
      </c>
    </row>
    <row r="7" customFormat="false" ht="16.5" hidden="false" customHeight="true" outlineLevel="0" collapsed="false">
      <c r="A7" s="18" t="s">
        <v>302</v>
      </c>
      <c r="B7" s="84" t="n">
        <f aca="false">B5+B6</f>
        <v>822</v>
      </c>
      <c r="C7" s="84" t="n">
        <f aca="false">C5+C6</f>
        <v>522</v>
      </c>
      <c r="D7" s="84" t="n">
        <f aca="false">D5+D6</f>
        <v>762.1</v>
      </c>
      <c r="E7" s="84" t="n">
        <f aca="false">E5+E6</f>
        <v>954</v>
      </c>
      <c r="F7" s="84" t="n">
        <f aca="false">F5+F6</f>
        <v>190</v>
      </c>
      <c r="G7" s="36"/>
    </row>
    <row r="9" customFormat="false" ht="18" hidden="false" customHeight="true" outlineLevel="0" collapsed="false">
      <c r="A9" s="18" t="s">
        <v>303</v>
      </c>
      <c r="B9" s="36"/>
      <c r="C9" s="36"/>
      <c r="D9" s="36"/>
      <c r="E9" s="36"/>
      <c r="F9" s="36"/>
      <c r="G9" s="36"/>
    </row>
    <row r="10" customFormat="false" ht="15.75" hidden="false" customHeight="true" outlineLevel="0" collapsed="false">
      <c r="A10" s="23" t="s">
        <v>304</v>
      </c>
      <c r="B10" s="81" t="n">
        <f aca="false">'Realistic Assumptions'!$B$30</f>
        <v>165</v>
      </c>
      <c r="C10" s="81" t="n">
        <f aca="false">'Realistic Assumptions'!$B$30</f>
        <v>165</v>
      </c>
      <c r="D10" s="81" t="n">
        <f aca="false">'Realistic Assumptions'!$B$30</f>
        <v>165</v>
      </c>
      <c r="E10" s="81" t="n">
        <f aca="false">'Realistic Assumptions'!$B$30+'Realistic Assumptions'!$B$31</f>
        <v>191</v>
      </c>
      <c r="F10" s="81" t="n">
        <f aca="false">'Realistic Assumptions'!$B$30</f>
        <v>165</v>
      </c>
      <c r="G10" s="82" t="s">
        <v>305</v>
      </c>
    </row>
    <row r="11" customFormat="false" ht="15.75" hidden="false" customHeight="true" outlineLevel="0" collapsed="false">
      <c r="A11" s="18" t="s">
        <v>306</v>
      </c>
      <c r="B11" s="83" t="n">
        <f aca="false">'Realistic Assumptions'!$B$43</f>
        <v>297</v>
      </c>
      <c r="C11" s="83" t="n">
        <f aca="false">'Realistic Assumptions'!$B$43</f>
        <v>297</v>
      </c>
      <c r="D11" s="83" t="n">
        <f aca="false">'Realistic Assumptions'!$B$43</f>
        <v>297</v>
      </c>
      <c r="E11" s="83" t="n">
        <f aca="false">'Realistic Assumptions'!$B$43</f>
        <v>297</v>
      </c>
      <c r="F11" s="83" t="n">
        <f aca="false">0</f>
        <v>0</v>
      </c>
      <c r="G11" s="56" t="s">
        <v>307</v>
      </c>
    </row>
    <row r="12" customFormat="false" ht="15.75" hidden="false" customHeight="true" outlineLevel="0" collapsed="false">
      <c r="A12" s="23" t="s">
        <v>308</v>
      </c>
      <c r="B12" s="81" t="n">
        <f aca="false">'Realistic Assumptions'!$B$27</f>
        <v>2</v>
      </c>
      <c r="C12" s="81" t="n">
        <f aca="false">'Realistic Assumptions'!$B$27</f>
        <v>2</v>
      </c>
      <c r="D12" s="81" t="n">
        <f aca="false">'Realistic Assumptions'!$B$27</f>
        <v>2</v>
      </c>
      <c r="E12" s="81" t="n">
        <f aca="false">'Realistic Assumptions'!$B$27</f>
        <v>2</v>
      </c>
      <c r="F12" s="81" t="n">
        <f aca="false">0</f>
        <v>0</v>
      </c>
      <c r="G12" s="82"/>
    </row>
    <row r="13" customFormat="false" ht="15.75" hidden="false" customHeight="true" outlineLevel="0" collapsed="false">
      <c r="A13" s="49" t="s">
        <v>309</v>
      </c>
      <c r="B13" s="85" t="n">
        <f aca="false">'Realistic Assumptions'!$B$28</f>
        <v>1</v>
      </c>
      <c r="C13" s="85" t="n">
        <f aca="false">'Realistic Assumptions'!$B$28</f>
        <v>1</v>
      </c>
      <c r="D13" s="85" t="n">
        <f aca="false">'Realistic Assumptions'!$B$28</f>
        <v>1</v>
      </c>
      <c r="E13" s="85" t="n">
        <f aca="false">'Realistic Assumptions'!$B$28</f>
        <v>1</v>
      </c>
      <c r="F13" s="85" t="n">
        <f aca="false">0</f>
        <v>0</v>
      </c>
      <c r="G13" s="86"/>
    </row>
    <row r="14" customFormat="false" ht="15.75" hidden="false" customHeight="true" outlineLevel="0" collapsed="false">
      <c r="A14" s="23" t="s">
        <v>310</v>
      </c>
      <c r="B14" s="81" t="n">
        <f aca="false">'Realistic Assumptions'!$B$29</f>
        <v>0</v>
      </c>
      <c r="C14" s="81" t="n">
        <f aca="false">'Realistic Assumptions'!$B$29</f>
        <v>0</v>
      </c>
      <c r="D14" s="81" t="n">
        <f aca="false">'Realistic Assumptions'!$B$29</f>
        <v>0</v>
      </c>
      <c r="E14" s="81" t="n">
        <f aca="false">'Realistic Assumptions'!$B$29</f>
        <v>0</v>
      </c>
      <c r="F14" s="81" t="n">
        <f aca="false">0</f>
        <v>0</v>
      </c>
      <c r="G14" s="82"/>
    </row>
    <row r="15" customFormat="false" ht="15.75" hidden="false" customHeight="true" outlineLevel="0" collapsed="false">
      <c r="A15" s="49" t="s">
        <v>311</v>
      </c>
      <c r="B15" s="85" t="n">
        <f aca="false">B7*'Realistic Assumptions'!$B$32+'Realistic Assumptions'!$B$33*2</f>
        <v>12.93</v>
      </c>
      <c r="C15" s="85" t="n">
        <f aca="false">C7*'Realistic Assumptions'!$B$32+'Realistic Assumptions'!$B$33*2</f>
        <v>8.43</v>
      </c>
      <c r="D15" s="85" t="n">
        <f aca="false">D7*'Realistic Assumptions'!$B$32+'Realistic Assumptions'!$B$33*2</f>
        <v>12.0315</v>
      </c>
      <c r="E15" s="85" t="n">
        <f aca="false">E7*'Realistic Assumptions'!$B$32+'Realistic Assumptions'!$B$33*2</f>
        <v>14.91</v>
      </c>
      <c r="F15" s="85" t="n">
        <f aca="false">F7*'Realistic Assumptions'!$B$32+'Realistic Assumptions'!$B$33*1</f>
        <v>3.15</v>
      </c>
      <c r="G15" s="86"/>
    </row>
    <row r="16" customFormat="false" ht="16.5" hidden="false" customHeight="true" outlineLevel="0" collapsed="false">
      <c r="A16" s="20" t="s">
        <v>312</v>
      </c>
      <c r="B16" s="87" t="n">
        <f aca="false">SUM(B10:B15)</f>
        <v>477.93</v>
      </c>
      <c r="C16" s="87" t="n">
        <f aca="false">SUM(C10:C15)</f>
        <v>473.43</v>
      </c>
      <c r="D16" s="87" t="n">
        <f aca="false">SUM(D10:D15)</f>
        <v>477.0315</v>
      </c>
      <c r="E16" s="87" t="n">
        <f aca="false">SUM(E10:E15)</f>
        <v>505.91</v>
      </c>
      <c r="F16" s="87" t="n">
        <f aca="false">SUM(F10:F15)</f>
        <v>168.15</v>
      </c>
      <c r="G16" s="10"/>
    </row>
    <row r="18" customFormat="false" ht="18" hidden="false" customHeight="true" outlineLevel="0" collapsed="false">
      <c r="A18" s="18" t="s">
        <v>313</v>
      </c>
      <c r="B18" s="36"/>
      <c r="C18" s="36"/>
      <c r="D18" s="36"/>
      <c r="E18" s="36"/>
      <c r="F18" s="36"/>
      <c r="G18" s="36"/>
    </row>
    <row r="19" customFormat="false" ht="16.5" hidden="false" customHeight="true" outlineLevel="0" collapsed="false">
      <c r="A19" s="23" t="s">
        <v>314</v>
      </c>
      <c r="B19" s="81" t="n">
        <f aca="false">B7-B16</f>
        <v>344.07</v>
      </c>
      <c r="C19" s="81" t="n">
        <f aca="false">C7-C16</f>
        <v>48.57</v>
      </c>
      <c r="D19" s="81" t="n">
        <f aca="false">D7-D16</f>
        <v>285.0685</v>
      </c>
      <c r="E19" s="81" t="n">
        <f aca="false">E7-E16</f>
        <v>448.09</v>
      </c>
      <c r="F19" s="81" t="n">
        <f aca="false">F7-F16</f>
        <v>21.85</v>
      </c>
      <c r="G19" s="82"/>
    </row>
    <row r="20" customFormat="false" ht="16.5" hidden="false" customHeight="true" outlineLevel="0" collapsed="false">
      <c r="A20" s="20" t="s">
        <v>315</v>
      </c>
      <c r="B20" s="88" t="n">
        <f aca="false">IFERROR(B19/B7,0)</f>
        <v>0.418576642335766</v>
      </c>
      <c r="C20" s="88" t="n">
        <f aca="false">IFERROR(C19/C7,0)</f>
        <v>0.0930459770114942</v>
      </c>
      <c r="D20" s="88" t="n">
        <f aca="false">IFERROR(D19/D7,0)</f>
        <v>0.374056554257971</v>
      </c>
      <c r="E20" s="88" t="n">
        <f aca="false">IFERROR(E19/E7,0)</f>
        <v>0.469696016771488</v>
      </c>
      <c r="F20" s="88" t="n">
        <f aca="false">IFERROR(F19/F7,0)</f>
        <v>0.115</v>
      </c>
      <c r="G20" s="10"/>
    </row>
    <row r="22" customFormat="false" ht="13.5" hidden="false" customHeight="true" outlineLevel="0" collapsed="false">
      <c r="A22" s="18" t="s">
        <v>316</v>
      </c>
      <c r="B22" s="36"/>
      <c r="C22" s="89" t="s">
        <v>317</v>
      </c>
      <c r="D22" s="89" t="s">
        <v>318</v>
      </c>
      <c r="E22" s="36"/>
      <c r="F22" s="36"/>
      <c r="G22" s="36"/>
    </row>
    <row r="23" customFormat="false" ht="16.5" hidden="false" customHeight="true" outlineLevel="0" collapsed="false">
      <c r="A23" s="23" t="s">
        <v>319</v>
      </c>
      <c r="B23" s="82"/>
      <c r="C23" s="81" t="n">
        <v>499</v>
      </c>
      <c r="D23" s="81" t="n">
        <v>0</v>
      </c>
      <c r="E23" s="90" t="s">
        <v>320</v>
      </c>
      <c r="F23" s="90"/>
      <c r="G23" s="90"/>
    </row>
    <row r="24" customFormat="false" ht="16.5" hidden="false" customHeight="true" outlineLevel="0" collapsed="false">
      <c r="A24" s="49" t="s">
        <v>321</v>
      </c>
      <c r="B24" s="86"/>
      <c r="C24" s="85" t="n">
        <v>599</v>
      </c>
      <c r="D24" s="85" t="n">
        <v>360</v>
      </c>
      <c r="E24" s="91" t="s">
        <v>322</v>
      </c>
      <c r="F24" s="91"/>
      <c r="G24" s="91"/>
    </row>
    <row r="25" customFormat="false" ht="16.5" hidden="false" customHeight="true" outlineLevel="0" collapsed="false">
      <c r="A25" s="23" t="s">
        <v>323</v>
      </c>
      <c r="B25" s="82"/>
      <c r="C25" s="81" t="n">
        <v>749</v>
      </c>
      <c r="D25" s="81" t="n">
        <v>540</v>
      </c>
      <c r="E25" s="90" t="s">
        <v>324</v>
      </c>
      <c r="F25" s="90"/>
      <c r="G25" s="90"/>
    </row>
    <row r="26" customFormat="false" ht="16.5" hidden="false" customHeight="true" outlineLevel="0" collapsed="false">
      <c r="A26" s="49" t="s">
        <v>325</v>
      </c>
      <c r="B26" s="86"/>
      <c r="C26" s="86" t="s">
        <v>326</v>
      </c>
      <c r="D26" s="86" t="s">
        <v>326</v>
      </c>
      <c r="E26" s="91" t="s">
        <v>327</v>
      </c>
      <c r="F26" s="91"/>
      <c r="G26" s="91"/>
    </row>
    <row r="28" customFormat="false" ht="19.5" hidden="false" customHeight="true" outlineLevel="0" collapsed="false">
      <c r="A28" s="92" t="s">
        <v>328</v>
      </c>
      <c r="B28" s="92"/>
      <c r="C28" s="92"/>
      <c r="D28" s="92"/>
      <c r="E28" s="92"/>
      <c r="F28" s="92"/>
      <c r="G28" s="92"/>
    </row>
    <row r="30" customFormat="false" ht="15" hidden="false" customHeight="true" outlineLevel="0" collapsed="false">
      <c r="A30" s="8" t="s">
        <v>329</v>
      </c>
      <c r="B30" s="36"/>
      <c r="C30" s="36"/>
      <c r="D30" s="36"/>
      <c r="E30" s="36"/>
      <c r="F30" s="36"/>
      <c r="G30" s="36"/>
    </row>
    <row r="31" customFormat="false" ht="15" hidden="false" customHeight="true" outlineLevel="0" collapsed="false">
      <c r="A31" s="12" t="s">
        <v>330</v>
      </c>
      <c r="B31" s="82"/>
      <c r="C31" s="82"/>
      <c r="D31" s="82"/>
      <c r="E31" s="82"/>
      <c r="F31" s="82"/>
      <c r="G31" s="82"/>
    </row>
    <row r="32" customFormat="false" ht="15" hidden="false" customHeight="true" outlineLevel="0" collapsed="false">
      <c r="A32" s="8" t="s">
        <v>331</v>
      </c>
      <c r="B32" s="36"/>
      <c r="C32" s="36"/>
      <c r="D32" s="36"/>
      <c r="E32" s="36"/>
      <c r="F32" s="36"/>
      <c r="G32" s="36"/>
    </row>
    <row r="33" customFormat="false" ht="15" hidden="false" customHeight="true" outlineLevel="0" collapsed="false">
      <c r="A33" s="12" t="s">
        <v>332</v>
      </c>
      <c r="B33" s="82"/>
      <c r="C33" s="82"/>
      <c r="D33" s="82"/>
      <c r="E33" s="82"/>
      <c r="F33" s="82"/>
      <c r="G33" s="82"/>
    </row>
  </sheetData>
  <mergeCells count="5">
    <mergeCell ref="E23:G23"/>
    <mergeCell ref="E24:G24"/>
    <mergeCell ref="E25:G25"/>
    <mergeCell ref="E26:G26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3333"/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333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7" t="s">
        <v>334</v>
      </c>
    </row>
    <row r="3" customFormat="false" ht="23.25" hidden="false" customHeight="true" outlineLevel="0" collapsed="false">
      <c r="B3" s="80" t="s">
        <v>335</v>
      </c>
      <c r="C3" s="80" t="s">
        <v>336</v>
      </c>
      <c r="D3" s="80" t="s">
        <v>337</v>
      </c>
      <c r="E3" s="80" t="s">
        <v>338</v>
      </c>
      <c r="F3" s="80" t="s">
        <v>339</v>
      </c>
    </row>
    <row r="5" customFormat="false" ht="15" hidden="false" customHeight="true" outlineLevel="0" collapsed="false">
      <c r="A5" s="8" t="s">
        <v>340</v>
      </c>
      <c r="B5" s="36"/>
      <c r="C5" s="36"/>
      <c r="D5" s="36"/>
      <c r="E5" s="36"/>
      <c r="F5" s="36"/>
    </row>
    <row r="6" customFormat="false" ht="15" hidden="false" customHeight="true" outlineLevel="0" collapsed="false">
      <c r="A6" s="10" t="s">
        <v>9</v>
      </c>
      <c r="B6" s="10" t="n">
        <v>47</v>
      </c>
      <c r="C6" s="11" t="n">
        <v>180</v>
      </c>
      <c r="D6" s="11" t="n">
        <v>540</v>
      </c>
      <c r="E6" s="10"/>
      <c r="F6" s="10"/>
    </row>
    <row r="7" customFormat="false" ht="15" hidden="false" customHeight="true" outlineLevel="0" collapsed="false">
      <c r="A7" s="12" t="s">
        <v>341</v>
      </c>
      <c r="B7" s="82" t="n">
        <v>44</v>
      </c>
      <c r="C7" s="93" t="n">
        <v>167</v>
      </c>
      <c r="D7" s="93" t="n">
        <v>502</v>
      </c>
      <c r="E7" s="82"/>
      <c r="F7" s="82"/>
    </row>
    <row r="8" customFormat="false" ht="15" hidden="false" customHeight="true" outlineLevel="0" collapsed="false">
      <c r="A8" s="75" t="s">
        <v>342</v>
      </c>
      <c r="B8" s="86" t="n">
        <v>28</v>
      </c>
      <c r="C8" s="94" t="n">
        <v>117</v>
      </c>
      <c r="D8" s="94" t="n">
        <v>326</v>
      </c>
      <c r="E8" s="86"/>
      <c r="F8" s="86"/>
    </row>
    <row r="9" customFormat="false" ht="15" hidden="false" customHeight="true" outlineLevel="0" collapsed="false">
      <c r="A9" s="12" t="s">
        <v>343</v>
      </c>
      <c r="B9" s="82" t="n">
        <v>9</v>
      </c>
      <c r="C9" s="82" t="n">
        <v>8</v>
      </c>
      <c r="D9" s="82" t="n">
        <v>0</v>
      </c>
      <c r="E9" s="82"/>
      <c r="F9" s="82"/>
    </row>
    <row r="10" customFormat="false" ht="15" hidden="false" customHeight="true" outlineLevel="0" collapsed="false">
      <c r="A10" s="75" t="s">
        <v>344</v>
      </c>
      <c r="B10" s="86" t="n">
        <v>7</v>
      </c>
      <c r="C10" s="86" t="n">
        <v>42</v>
      </c>
      <c r="D10" s="94" t="n">
        <v>176</v>
      </c>
      <c r="E10" s="86"/>
      <c r="F10" s="86"/>
    </row>
    <row r="11" customFormat="false" ht="15" hidden="false" customHeight="true" outlineLevel="0" collapsed="false">
      <c r="A11" s="12" t="s">
        <v>345</v>
      </c>
      <c r="B11" s="82" t="n">
        <v>4</v>
      </c>
      <c r="C11" s="82" t="n">
        <v>20</v>
      </c>
      <c r="D11" s="82" t="n">
        <v>75</v>
      </c>
      <c r="E11" s="82"/>
      <c r="F11" s="82"/>
    </row>
    <row r="12" customFormat="false" ht="15" hidden="false" customHeight="true" outlineLevel="0" collapsed="false">
      <c r="A12" s="75" t="s">
        <v>346</v>
      </c>
      <c r="B12" s="86" t="n">
        <v>3</v>
      </c>
      <c r="C12" s="86" t="n">
        <v>13</v>
      </c>
      <c r="D12" s="86" t="n">
        <v>38</v>
      </c>
      <c r="E12" s="86"/>
      <c r="F12" s="86"/>
    </row>
    <row r="14" customFormat="false" ht="15" hidden="false" customHeight="true" outlineLevel="0" collapsed="false">
      <c r="A14" s="8" t="s">
        <v>347</v>
      </c>
      <c r="B14" s="36"/>
      <c r="C14" s="36"/>
      <c r="D14" s="36"/>
      <c r="E14" s="36"/>
      <c r="F14" s="36"/>
    </row>
    <row r="15" customFormat="false" ht="15" hidden="false" customHeight="true" outlineLevel="0" collapsed="false">
      <c r="A15" s="8" t="s">
        <v>348</v>
      </c>
      <c r="B15" s="95" t="n">
        <v>23236.7</v>
      </c>
      <c r="C15" s="95" t="n">
        <v>95117.2</v>
      </c>
      <c r="D15" s="95" t="n">
        <v>290155.6</v>
      </c>
      <c r="E15" s="36"/>
      <c r="F15" s="36"/>
    </row>
    <row r="16" customFormat="false" ht="15" hidden="false" customHeight="true" outlineLevel="0" collapsed="false">
      <c r="A16" s="12" t="s">
        <v>349</v>
      </c>
      <c r="B16" s="93" t="n">
        <v>9812</v>
      </c>
      <c r="C16" s="93" t="n">
        <v>37241</v>
      </c>
      <c r="D16" s="93" t="n">
        <v>111946</v>
      </c>
      <c r="E16" s="82"/>
      <c r="F16" s="82"/>
    </row>
    <row r="17" customFormat="false" ht="15" hidden="false" customHeight="true" outlineLevel="0" collapsed="false">
      <c r="A17" s="75" t="s">
        <v>350</v>
      </c>
      <c r="B17" s="94" t="n">
        <v>528</v>
      </c>
      <c r="C17" s="94" t="n">
        <v>2640</v>
      </c>
      <c r="D17" s="94" t="n">
        <v>9900</v>
      </c>
      <c r="E17" s="86"/>
      <c r="F17" s="86"/>
    </row>
    <row r="18" customFormat="false" ht="15" hidden="false" customHeight="true" outlineLevel="0" collapsed="false">
      <c r="A18" s="8" t="s">
        <v>351</v>
      </c>
      <c r="B18" s="95" t="n">
        <v>570</v>
      </c>
      <c r="C18" s="95" t="n">
        <v>2470</v>
      </c>
      <c r="D18" s="95" t="n">
        <v>7220</v>
      </c>
      <c r="E18" s="36"/>
      <c r="F18" s="36"/>
    </row>
    <row r="19" customFormat="false" ht="15" hidden="false" customHeight="true" outlineLevel="0" collapsed="false">
      <c r="A19" s="12" t="s">
        <v>352</v>
      </c>
      <c r="B19" s="82" t="n">
        <v>20</v>
      </c>
      <c r="C19" s="82" t="n">
        <v>85</v>
      </c>
      <c r="D19" s="93" t="n">
        <v>250</v>
      </c>
      <c r="E19" s="82"/>
      <c r="F19" s="82"/>
    </row>
    <row r="20" customFormat="false" ht="15" hidden="false" customHeight="true" outlineLevel="0" collapsed="false">
      <c r="A20" s="8" t="s">
        <v>19</v>
      </c>
      <c r="B20" s="96" t="n">
        <v>34166.7</v>
      </c>
      <c r="C20" s="96" t="n">
        <v>137553.2</v>
      </c>
      <c r="D20" s="96" t="n">
        <v>419471.6</v>
      </c>
      <c r="E20" s="36"/>
      <c r="F20" s="36"/>
    </row>
    <row r="22" customFormat="false" ht="15" hidden="false" customHeight="true" outlineLevel="0" collapsed="false">
      <c r="A22" s="8" t="s">
        <v>353</v>
      </c>
      <c r="B22" s="36"/>
      <c r="C22" s="36"/>
      <c r="D22" s="36"/>
      <c r="E22" s="36"/>
      <c r="F22" s="36"/>
    </row>
    <row r="23" customFormat="false" ht="15" hidden="false" customHeight="true" outlineLevel="0" collapsed="false">
      <c r="A23" s="12" t="s">
        <v>354</v>
      </c>
      <c r="B23" s="93" t="n">
        <v>7859</v>
      </c>
      <c r="C23" s="93" t="n">
        <v>30220</v>
      </c>
      <c r="D23" s="93" t="n">
        <v>91050</v>
      </c>
      <c r="E23" s="82"/>
      <c r="F23" s="82"/>
    </row>
    <row r="24" customFormat="false" ht="15" hidden="false" customHeight="true" outlineLevel="0" collapsed="false">
      <c r="A24" s="8" t="s">
        <v>306</v>
      </c>
      <c r="B24" s="95" t="n">
        <v>13068</v>
      </c>
      <c r="C24" s="95" t="n">
        <v>49599</v>
      </c>
      <c r="D24" s="95" t="n">
        <v>0</v>
      </c>
      <c r="E24" s="36"/>
      <c r="F24" s="36"/>
    </row>
    <row r="25" customFormat="false" ht="15" hidden="false" customHeight="true" outlineLevel="0" collapsed="false">
      <c r="A25" s="12" t="s">
        <v>308</v>
      </c>
      <c r="B25" s="82" t="n">
        <v>88</v>
      </c>
      <c r="C25" s="93" t="n">
        <v>334</v>
      </c>
      <c r="D25" s="93" t="n">
        <v>1004</v>
      </c>
      <c r="E25" s="82"/>
      <c r="F25" s="82"/>
    </row>
    <row r="26" customFormat="false" ht="15" hidden="false" customHeight="true" outlineLevel="0" collapsed="false">
      <c r="A26" s="75" t="s">
        <v>355</v>
      </c>
      <c r="B26" s="86" t="n">
        <v>44</v>
      </c>
      <c r="C26" s="94" t="n">
        <v>167</v>
      </c>
      <c r="D26" s="94" t="n">
        <v>502</v>
      </c>
      <c r="E26" s="86"/>
      <c r="F26" s="86"/>
    </row>
    <row r="27" customFormat="false" ht="15" hidden="false" customHeight="true" outlineLevel="0" collapsed="false">
      <c r="A27" s="12" t="s">
        <v>356</v>
      </c>
      <c r="B27" s="93" t="n">
        <v>526.6</v>
      </c>
      <c r="C27" s="93" t="n">
        <v>2117.3</v>
      </c>
      <c r="D27" s="93" t="n">
        <v>6454.07</v>
      </c>
      <c r="E27" s="82"/>
      <c r="F27" s="82"/>
    </row>
    <row r="28" customFormat="false" ht="15" hidden="false" customHeight="true" outlineLevel="0" collapsed="false">
      <c r="A28" s="8" t="s">
        <v>357</v>
      </c>
      <c r="B28" s="95" t="n">
        <v>21585.6</v>
      </c>
      <c r="C28" s="95" t="n">
        <v>82437.3</v>
      </c>
      <c r="D28" s="95" t="n">
        <v>248104.07</v>
      </c>
      <c r="E28" s="36"/>
      <c r="F28" s="36"/>
    </row>
    <row r="29" customFormat="false" ht="15" hidden="false" customHeight="true" outlineLevel="0" collapsed="false">
      <c r="A29" s="10" t="s">
        <v>11</v>
      </c>
      <c r="B29" s="11" t="n">
        <v>12581.1</v>
      </c>
      <c r="C29" s="11" t="n">
        <v>55115.9</v>
      </c>
      <c r="D29" s="11" t="n">
        <v>171367.53</v>
      </c>
      <c r="E29" s="10"/>
      <c r="F29" s="10"/>
    </row>
    <row r="30" customFormat="false" ht="15" hidden="false" customHeight="true" outlineLevel="0" collapsed="false">
      <c r="A30" s="10" t="s">
        <v>358</v>
      </c>
      <c r="B30" s="17" t="n">
        <v>0.3682</v>
      </c>
      <c r="C30" s="17" t="n">
        <v>0.4007</v>
      </c>
      <c r="D30" s="17" t="n">
        <v>0.4085</v>
      </c>
      <c r="E30" s="10"/>
      <c r="F30" s="10"/>
    </row>
    <row r="32" customFormat="false" ht="15" hidden="false" customHeight="true" outlineLevel="0" collapsed="false">
      <c r="A32" s="8" t="s">
        <v>359</v>
      </c>
      <c r="B32" s="36"/>
      <c r="C32" s="36"/>
      <c r="D32" s="36"/>
      <c r="E32" s="36"/>
      <c r="F32" s="36"/>
    </row>
    <row r="33" customFormat="false" ht="15" hidden="false" customHeight="true" outlineLevel="0" collapsed="false">
      <c r="A33" s="12" t="s">
        <v>360</v>
      </c>
      <c r="B33" s="93" t="n">
        <v>1800</v>
      </c>
      <c r="C33" s="93" t="n">
        <v>2400</v>
      </c>
      <c r="D33" s="93" t="n">
        <v>3600</v>
      </c>
      <c r="E33" s="82"/>
      <c r="F33" s="82"/>
    </row>
    <row r="34" customFormat="false" ht="15" hidden="false" customHeight="true" outlineLevel="0" collapsed="false">
      <c r="A34" s="75" t="s">
        <v>361</v>
      </c>
      <c r="B34" s="94" t="n">
        <v>1160</v>
      </c>
      <c r="C34" s="94" t="n">
        <v>1260</v>
      </c>
      <c r="D34" s="94" t="n">
        <v>1510</v>
      </c>
      <c r="E34" s="86"/>
      <c r="F34" s="86"/>
    </row>
    <row r="35" customFormat="false" ht="15" hidden="false" customHeight="true" outlineLevel="0" collapsed="false">
      <c r="A35" s="12" t="s">
        <v>362</v>
      </c>
      <c r="B35" s="93" t="n">
        <v>3300</v>
      </c>
      <c r="C35" s="93" t="n">
        <v>1500</v>
      </c>
      <c r="D35" s="93" t="n">
        <v>2000</v>
      </c>
      <c r="E35" s="82"/>
      <c r="F35" s="82"/>
    </row>
    <row r="36" customFormat="false" ht="15" hidden="false" customHeight="true" outlineLevel="0" collapsed="false">
      <c r="A36" s="75" t="s">
        <v>363</v>
      </c>
      <c r="B36" s="94" t="n">
        <v>500</v>
      </c>
      <c r="C36" s="94" t="n">
        <v>500</v>
      </c>
      <c r="D36" s="94" t="n">
        <v>700</v>
      </c>
      <c r="E36" s="86"/>
      <c r="F36" s="86"/>
    </row>
    <row r="37" customFormat="false" ht="15" hidden="false" customHeight="true" outlineLevel="0" collapsed="false">
      <c r="A37" s="12" t="s">
        <v>364</v>
      </c>
      <c r="B37" s="93" t="n">
        <v>4000</v>
      </c>
      <c r="C37" s="93" t="n">
        <v>16500</v>
      </c>
      <c r="D37" s="93" t="n">
        <v>50500</v>
      </c>
      <c r="E37" s="82"/>
      <c r="F37" s="82"/>
    </row>
    <row r="38" customFormat="false" ht="15" hidden="false" customHeight="true" outlineLevel="0" collapsed="false">
      <c r="A38" s="12" t="s">
        <v>365</v>
      </c>
      <c r="B38" s="1" t="n">
        <v>1200</v>
      </c>
      <c r="C38" s="1" t="n">
        <v>1200</v>
      </c>
      <c r="D38" s="1" t="n">
        <v>1200</v>
      </c>
    </row>
    <row r="39" customFormat="false" ht="15" hidden="false" customHeight="true" outlineLevel="0" collapsed="false">
      <c r="A39" s="12" t="s">
        <v>366</v>
      </c>
      <c r="B39" s="1" t="n">
        <v>360</v>
      </c>
      <c r="C39" s="1" t="n">
        <v>360</v>
      </c>
      <c r="D39" s="1" t="n">
        <v>360</v>
      </c>
    </row>
    <row r="40" customFormat="false" ht="15" hidden="false" customHeight="true" outlineLevel="0" collapsed="false">
      <c r="A40" s="12" t="s">
        <v>367</v>
      </c>
      <c r="B40" s="1" t="n">
        <v>180</v>
      </c>
      <c r="C40" s="1" t="n">
        <v>180</v>
      </c>
      <c r="D40" s="1" t="n">
        <v>180</v>
      </c>
    </row>
    <row r="41" customFormat="false" ht="15" hidden="false" customHeight="true" outlineLevel="0" collapsed="false">
      <c r="A41" s="12" t="s">
        <v>368</v>
      </c>
      <c r="B41" s="1" t="n">
        <v>0</v>
      </c>
      <c r="C41" s="1" t="n">
        <v>0</v>
      </c>
      <c r="D41" s="1" t="n">
        <v>88750</v>
      </c>
    </row>
    <row r="42" customFormat="false" ht="15" hidden="false" customHeight="true" outlineLevel="0" collapsed="false">
      <c r="A42" s="97" t="s">
        <v>369</v>
      </c>
      <c r="B42" s="97" t="n">
        <f aca="false">SUM(B33:B41)</f>
        <v>12500</v>
      </c>
      <c r="C42" s="97" t="n">
        <f aca="false">SUM(C33:C41)</f>
        <v>23900</v>
      </c>
      <c r="D42" s="97" t="n">
        <f aca="false">SUM(D33:D41)</f>
        <v>148800</v>
      </c>
      <c r="E42" s="36"/>
      <c r="F42" s="36"/>
    </row>
    <row r="43" customFormat="false" ht="15" hidden="false" customHeight="true" outlineLevel="0" collapsed="false"/>
    <row r="44" customFormat="false" ht="15" hidden="false" customHeight="true" outlineLevel="0" collapsed="false">
      <c r="A44" s="98" t="s">
        <v>13</v>
      </c>
      <c r="B44" s="10" t="n">
        <f aca="false">B29-B42</f>
        <v>81.1000000000004</v>
      </c>
      <c r="C44" s="10" t="n">
        <f aca="false">C29-C42</f>
        <v>31215.9</v>
      </c>
      <c r="D44" s="10" t="n">
        <f aca="false">D29-D42</f>
        <v>22567.53</v>
      </c>
      <c r="E44" s="10"/>
      <c r="F44" s="10"/>
    </row>
    <row r="45" customFormat="false" ht="15" hidden="false" customHeight="true" outlineLevel="0" collapsed="false">
      <c r="A45" s="99" t="s">
        <v>370</v>
      </c>
      <c r="B45" s="1" t="n">
        <f aca="false">IFERROR(B44/B20,0)</f>
        <v>0.00237365622082321</v>
      </c>
      <c r="C45" s="1" t="n">
        <f aca="false">IFERROR(C44/C20,0)</f>
        <v>0.226936923314034</v>
      </c>
      <c r="D45" s="1" t="n">
        <f aca="false">IFERROR(D44/D20,0)</f>
        <v>0.0537998996833159</v>
      </c>
    </row>
    <row r="46" customFormat="false" ht="15" hidden="false" customHeight="true" outlineLevel="0" collapsed="false"/>
    <row r="47" customFormat="false" ht="15" hidden="false" customHeight="true" outlineLevel="0" collapsed="false">
      <c r="A47" s="100" t="s">
        <v>21</v>
      </c>
      <c r="B47" s="36"/>
      <c r="C47" s="36"/>
      <c r="D47" s="36"/>
      <c r="E47" s="36"/>
      <c r="F47" s="36"/>
    </row>
    <row r="48" customFormat="false" ht="15" hidden="false" customHeight="true" outlineLevel="0" collapsed="false">
      <c r="A48" s="101" t="s">
        <v>371</v>
      </c>
    </row>
    <row r="49" customFormat="false" ht="15" hidden="false" customHeight="true" outlineLevel="0" collapsed="false">
      <c r="A49" s="101" t="s">
        <v>372</v>
      </c>
    </row>
    <row r="50" customFormat="false" ht="15" hidden="false" customHeight="true" outlineLevel="0" collapsed="false">
      <c r="A50" s="35" t="s">
        <v>373</v>
      </c>
    </row>
    <row r="51" customFormat="false" ht="15" hidden="false" customHeight="true" outlineLevel="0" collapsed="false">
      <c r="A51" s="35" t="s">
        <v>374</v>
      </c>
    </row>
    <row r="52" customFormat="false" ht="15" hidden="false" customHeight="true" outlineLevel="0" collapsed="false">
      <c r="A52" s="35" t="s">
        <v>375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3D3F"/>
    <pageSetUpPr fitToPage="false"/>
  </sheetPr>
  <dimension ref="A1:O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4" min="2" style="1" width="10"/>
    <col collapsed="false" customWidth="true" hidden="false" outlineLevel="0" max="15" min="15" style="1" width="12"/>
  </cols>
  <sheetData>
    <row r="1" customFormat="false" ht="31.5" hidden="false" customHeight="true" outlineLevel="0" collapsed="false">
      <c r="A1" s="45" t="s">
        <v>376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3" customFormat="false" ht="21.75" hidden="false" customHeight="true" outlineLevel="0" collapsed="false">
      <c r="B3" s="6" t="s">
        <v>377</v>
      </c>
      <c r="C3" s="6" t="s">
        <v>378</v>
      </c>
      <c r="D3" s="6" t="s">
        <v>379</v>
      </c>
      <c r="E3" s="6" t="s">
        <v>380</v>
      </c>
      <c r="F3" s="6" t="s">
        <v>381</v>
      </c>
      <c r="G3" s="6" t="s">
        <v>382</v>
      </c>
      <c r="H3" s="6" t="s">
        <v>383</v>
      </c>
      <c r="I3" s="6" t="s">
        <v>384</v>
      </c>
      <c r="J3" s="6" t="s">
        <v>385</v>
      </c>
      <c r="K3" s="6" t="s">
        <v>386</v>
      </c>
      <c r="L3" s="6" t="s">
        <v>387</v>
      </c>
      <c r="M3" s="6" t="s">
        <v>388</v>
      </c>
      <c r="O3" s="6" t="s">
        <v>389</v>
      </c>
    </row>
    <row r="4" customFormat="false" ht="18" hidden="false" customHeight="true" outlineLevel="0" collapsed="false">
      <c r="A4" s="18" t="s">
        <v>390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customFormat="false" ht="15.75" hidden="false" customHeight="true" outlineLevel="0" collapsed="false">
      <c r="A5" s="20" t="s">
        <v>391</v>
      </c>
      <c r="B5" s="102" t="n">
        <v>3</v>
      </c>
      <c r="C5" s="102" t="n">
        <v>4</v>
      </c>
      <c r="D5" s="102" t="n">
        <v>4</v>
      </c>
      <c r="E5" s="102" t="n">
        <v>7</v>
      </c>
      <c r="F5" s="102" t="n">
        <v>10</v>
      </c>
      <c r="G5" s="102" t="n">
        <v>12</v>
      </c>
      <c r="H5" s="102" t="n">
        <v>14</v>
      </c>
      <c r="I5" s="102" t="n">
        <v>17</v>
      </c>
      <c r="J5" s="102" t="n">
        <v>18</v>
      </c>
      <c r="K5" s="102" t="n">
        <v>20</v>
      </c>
      <c r="L5" s="102" t="n">
        <v>22</v>
      </c>
      <c r="M5" s="102" t="n">
        <v>24</v>
      </c>
      <c r="N5" s="10"/>
      <c r="O5" s="102" t="n">
        <f aca="false">SUM(B5:M5)</f>
        <v>155</v>
      </c>
    </row>
    <row r="6" customFormat="false" ht="15.75" hidden="false" customHeight="true" outlineLevel="0" collapsed="false">
      <c r="A6" s="23" t="s">
        <v>392</v>
      </c>
      <c r="B6" s="103" t="n">
        <f aca="false">ROUND(B5*'Realistic Assumptions'!$B$49,0)</f>
        <v>0</v>
      </c>
      <c r="C6" s="103" t="n">
        <f aca="false">ROUND(C5*'Realistic Assumptions'!$B$49,0)</f>
        <v>0</v>
      </c>
      <c r="D6" s="103" t="n">
        <f aca="false">ROUND(D5*'Realistic Assumptions'!$B$49,0)</f>
        <v>0</v>
      </c>
      <c r="E6" s="103" t="n">
        <f aca="false">ROUND(E5*'Realistic Assumptions'!$B$49,0)</f>
        <v>0</v>
      </c>
      <c r="F6" s="103" t="n">
        <f aca="false">ROUND(F5*'Realistic Assumptions'!$B$49,0)</f>
        <v>1</v>
      </c>
      <c r="G6" s="103" t="n">
        <f aca="false">ROUND(G5*'Realistic Assumptions'!$B$49,0)</f>
        <v>1</v>
      </c>
      <c r="H6" s="103" t="n">
        <f aca="false">ROUND(H5*'Realistic Assumptions'!$B$49,0)</f>
        <v>1</v>
      </c>
      <c r="I6" s="103" t="n">
        <f aca="false">ROUND(I5*'Realistic Assumptions'!$B$49,0)</f>
        <v>1</v>
      </c>
      <c r="J6" s="103" t="n">
        <f aca="false">ROUND(J5*'Realistic Assumptions'!$B$49,0)</f>
        <v>1</v>
      </c>
      <c r="K6" s="103" t="n">
        <f aca="false">ROUND(K5*'Realistic Assumptions'!$B$49,0)</f>
        <v>1</v>
      </c>
      <c r="L6" s="103" t="n">
        <f aca="false">ROUND(L5*'Realistic Assumptions'!$B$49,0)</f>
        <v>2</v>
      </c>
      <c r="M6" s="103" t="n">
        <f aca="false">ROUND(M5*'Realistic Assumptions'!$B$49,0)</f>
        <v>2</v>
      </c>
      <c r="N6" s="82"/>
      <c r="O6" s="103" t="n">
        <f aca="false">SUM(B6:M6)</f>
        <v>10</v>
      </c>
    </row>
    <row r="7" customFormat="false" ht="15.75" hidden="false" customHeight="true" outlineLevel="0" collapsed="false">
      <c r="A7" s="49" t="s">
        <v>341</v>
      </c>
      <c r="B7" s="104" t="n">
        <f aca="false">B5-B6</f>
        <v>3</v>
      </c>
      <c r="C7" s="104" t="n">
        <f aca="false">C5-C6</f>
        <v>4</v>
      </c>
      <c r="D7" s="104" t="n">
        <f aca="false">D5-D6</f>
        <v>4</v>
      </c>
      <c r="E7" s="104" t="n">
        <f aca="false">E5-E6</f>
        <v>7</v>
      </c>
      <c r="F7" s="104" t="n">
        <f aca="false">F5-F6</f>
        <v>9</v>
      </c>
      <c r="G7" s="104" t="n">
        <f aca="false">G5-G6</f>
        <v>11</v>
      </c>
      <c r="H7" s="104" t="n">
        <f aca="false">H5-H6</f>
        <v>13</v>
      </c>
      <c r="I7" s="104" t="n">
        <f aca="false">I5-I6</f>
        <v>16</v>
      </c>
      <c r="J7" s="104" t="n">
        <f aca="false">J5-J6</f>
        <v>17</v>
      </c>
      <c r="K7" s="104" t="n">
        <f aca="false">K5-K6</f>
        <v>19</v>
      </c>
      <c r="L7" s="104" t="n">
        <f aca="false">L5-L6</f>
        <v>20</v>
      </c>
      <c r="M7" s="104" t="n">
        <f aca="false">M5-M6</f>
        <v>22</v>
      </c>
      <c r="N7" s="86"/>
      <c r="O7" s="104" t="n">
        <f aca="false">SUM(B7:M7)</f>
        <v>145</v>
      </c>
    </row>
    <row r="8" customFormat="false" ht="15.75" hidden="false" customHeight="true" outlineLevel="0" collapsed="false">
      <c r="A8" s="23" t="s">
        <v>345</v>
      </c>
      <c r="B8" s="103" t="n">
        <f aca="false">ROUND(B7*0,0)</f>
        <v>0</v>
      </c>
      <c r="C8" s="103" t="n">
        <f aca="false">ROUND(C7*0,0)</f>
        <v>0</v>
      </c>
      <c r="D8" s="103" t="n">
        <f aca="false">ROUND(D7*0.05,0)</f>
        <v>0</v>
      </c>
      <c r="E8" s="103" t="n">
        <f aca="false">ROUND(E7*0.05,0)</f>
        <v>0</v>
      </c>
      <c r="F8" s="103" t="n">
        <f aca="false">ROUND(F7*0.08,0)</f>
        <v>1</v>
      </c>
      <c r="G8" s="103" t="n">
        <f aca="false">ROUND(G7*0.08,0)</f>
        <v>1</v>
      </c>
      <c r="H8" s="103" t="n">
        <f aca="false">ROUND(H7*0.1,0)</f>
        <v>1</v>
      </c>
      <c r="I8" s="103" t="n">
        <f aca="false">ROUND(I7*0.1,0)</f>
        <v>2</v>
      </c>
      <c r="J8" s="103" t="n">
        <f aca="false">ROUND(J7*0.1,0)</f>
        <v>2</v>
      </c>
      <c r="K8" s="103" t="n">
        <f aca="false">ROUND(K7*0.12,0)</f>
        <v>2</v>
      </c>
      <c r="L8" s="103" t="n">
        <f aca="false">ROUND(L7*0.12,0)</f>
        <v>2</v>
      </c>
      <c r="M8" s="103" t="n">
        <f aca="false">ROUND(M7*0.12,0)</f>
        <v>3</v>
      </c>
      <c r="N8" s="82"/>
      <c r="O8" s="103" t="n">
        <f aca="false">SUM(B8:M8)</f>
        <v>14</v>
      </c>
    </row>
    <row r="9" customFormat="false" ht="15.75" hidden="false" customHeight="true" outlineLevel="0" collapsed="false">
      <c r="A9" s="49" t="s">
        <v>393</v>
      </c>
      <c r="B9" s="104" t="n">
        <f aca="false">ROUND(B7*'Realistic Assumptions'!$B$11,0)</f>
        <v>1</v>
      </c>
      <c r="C9" s="104" t="n">
        <f aca="false">ROUND(C7*'Realistic Assumptions'!$B$11,0)</f>
        <v>1</v>
      </c>
      <c r="D9" s="104" t="n">
        <f aca="false">ROUND(D7*'Realistic Assumptions'!$B$11,0)</f>
        <v>1</v>
      </c>
      <c r="E9" s="104" t="n">
        <f aca="false">ROUND(E7*'Realistic Assumptions'!$B$11,0)</f>
        <v>1</v>
      </c>
      <c r="F9" s="104" t="n">
        <f aca="false">ROUND(F7*'Realistic Assumptions'!$B$11,0)</f>
        <v>2</v>
      </c>
      <c r="G9" s="104" t="n">
        <f aca="false">ROUND(G7*'Realistic Assumptions'!$B$11,0)</f>
        <v>2</v>
      </c>
      <c r="H9" s="104" t="n">
        <f aca="false">ROUND(H7*'Realistic Assumptions'!$B$11,0)</f>
        <v>3</v>
      </c>
      <c r="I9" s="104" t="n">
        <f aca="false">ROUND(I7*'Realistic Assumptions'!$B$11,0)</f>
        <v>3</v>
      </c>
      <c r="J9" s="104" t="n">
        <f aca="false">ROUND(J7*'Realistic Assumptions'!$B$11,0)</f>
        <v>3</v>
      </c>
      <c r="K9" s="104" t="n">
        <f aca="false">ROUND(K7*'Realistic Assumptions'!$B$11,0)</f>
        <v>4</v>
      </c>
      <c r="L9" s="104" t="n">
        <f aca="false">ROUND(L7*'Realistic Assumptions'!$B$11,0)</f>
        <v>4</v>
      </c>
      <c r="M9" s="104" t="n">
        <f aca="false">ROUND(M7*'Realistic Assumptions'!$B$11,0)</f>
        <v>4</v>
      </c>
      <c r="N9" s="86"/>
      <c r="O9" s="104" t="n">
        <f aca="false">SUM(B9:M9)</f>
        <v>29</v>
      </c>
    </row>
    <row r="10" customFormat="false" ht="15.75" hidden="false" customHeight="true" outlineLevel="0" collapsed="false">
      <c r="A10" s="23" t="s">
        <v>394</v>
      </c>
      <c r="B10" s="103" t="n">
        <f aca="false">ROUND(B7*0,0)</f>
        <v>0</v>
      </c>
      <c r="C10" s="103" t="n">
        <f aca="false">ROUND(C7*0,0)</f>
        <v>0</v>
      </c>
      <c r="D10" s="103" t="n">
        <f aca="false">ROUND(D7*0,0)</f>
        <v>0</v>
      </c>
      <c r="E10" s="103" t="n">
        <f aca="false">ROUND(E7*0.05,0)</f>
        <v>0</v>
      </c>
      <c r="F10" s="103" t="n">
        <f aca="false">ROUND(F7*0.08,0)</f>
        <v>1</v>
      </c>
      <c r="G10" s="103" t="n">
        <f aca="false">ROUND(G7*0.1,0)</f>
        <v>1</v>
      </c>
      <c r="H10" s="103" t="n">
        <f aca="false">ROUND(H7*0.12,0)</f>
        <v>2</v>
      </c>
      <c r="I10" s="103" t="n">
        <f aca="false">ROUND(I7*0.15,0)</f>
        <v>2</v>
      </c>
      <c r="J10" s="103" t="n">
        <f aca="false">ROUND(J7*0.18,0)</f>
        <v>3</v>
      </c>
      <c r="K10" s="103" t="n">
        <f aca="false">ROUND(K7*0.18,0)</f>
        <v>3</v>
      </c>
      <c r="L10" s="103" t="n">
        <f aca="false">ROUND(L7*0.2,0)</f>
        <v>4</v>
      </c>
      <c r="M10" s="103" t="n">
        <f aca="false">ROUND(M7*0.2,0)</f>
        <v>4</v>
      </c>
      <c r="N10" s="82"/>
      <c r="O10" s="103" t="n">
        <f aca="false">SUM(B10:M10)</f>
        <v>20</v>
      </c>
    </row>
    <row r="11" customFormat="false" ht="15.75" hidden="false" customHeight="true" outlineLevel="0" collapsed="false">
      <c r="A11" s="49" t="s">
        <v>395</v>
      </c>
      <c r="B11" s="104" t="n">
        <f aca="false">B7-B9-B10</f>
        <v>2</v>
      </c>
      <c r="C11" s="104" t="n">
        <f aca="false">C7-C9-C10</f>
        <v>3</v>
      </c>
      <c r="D11" s="104" t="n">
        <f aca="false">D7-D9-D10</f>
        <v>3</v>
      </c>
      <c r="E11" s="104" t="n">
        <f aca="false">E7-E9-E10</f>
        <v>6</v>
      </c>
      <c r="F11" s="104" t="n">
        <f aca="false">F7-F9-F10</f>
        <v>6</v>
      </c>
      <c r="G11" s="104" t="n">
        <f aca="false">G7-G9-G10</f>
        <v>8</v>
      </c>
      <c r="H11" s="104" t="n">
        <f aca="false">H7-H9-H10</f>
        <v>8</v>
      </c>
      <c r="I11" s="104" t="n">
        <f aca="false">I7-I9-I10</f>
        <v>11</v>
      </c>
      <c r="J11" s="104" t="n">
        <f aca="false">J7-J9-J10</f>
        <v>11</v>
      </c>
      <c r="K11" s="104" t="n">
        <f aca="false">K7-K9-K10</f>
        <v>12</v>
      </c>
      <c r="L11" s="104" t="n">
        <f aca="false">L7-L9-L10</f>
        <v>12</v>
      </c>
      <c r="M11" s="104" t="n">
        <f aca="false">M7-M9-M10</f>
        <v>14</v>
      </c>
      <c r="N11" s="86"/>
      <c r="O11" s="104" t="n">
        <f aca="false">SUM(B11:M11)</f>
        <v>96</v>
      </c>
    </row>
    <row r="13" customFormat="false" ht="18" hidden="false" customHeight="true" outlineLevel="0" collapsed="false">
      <c r="A13" s="18" t="s">
        <v>347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</row>
    <row r="14" customFormat="false" ht="15.75" hidden="false" customHeight="true" outlineLevel="0" collapsed="false">
      <c r="A14" s="18" t="s">
        <v>348</v>
      </c>
      <c r="B14" s="83" t="n">
        <f aca="false">B9*'Realistic Assumptions'!$B$6+B10*'Realistic Assumptions'!$B$7+B11*'Realistic Assumptions'!$B$5</f>
        <v>1497</v>
      </c>
      <c r="C14" s="83" t="n">
        <f aca="false">C9*'Realistic Assumptions'!$B$6+C10*'Realistic Assumptions'!$B$7+C11*'Realistic Assumptions'!$B$5</f>
        <v>2096</v>
      </c>
      <c r="D14" s="83" t="n">
        <f aca="false">D9*'Realistic Assumptions'!$B$6+D10*'Realistic Assumptions'!$B$7+D11*'Realistic Assumptions'!$B$5</f>
        <v>2096</v>
      </c>
      <c r="E14" s="83" t="n">
        <f aca="false">E9*'Realistic Assumptions'!$B$6+E10*'Realistic Assumptions'!$B$7+E11*'Realistic Assumptions'!$B$5</f>
        <v>3893</v>
      </c>
      <c r="F14" s="83" t="n">
        <f aca="false">F9*'Realistic Assumptions'!$B$6+F10*'Realistic Assumptions'!$B$7+F11*'Realistic Assumptions'!$B$5</f>
        <v>4731.1</v>
      </c>
      <c r="G14" s="83" t="n">
        <f aca="false">G9*'Realistic Assumptions'!$B$6+G10*'Realistic Assumptions'!$B$7+G11*'Realistic Assumptions'!$B$5</f>
        <v>5929.1</v>
      </c>
      <c r="H14" s="83" t="n">
        <f aca="false">H9*'Realistic Assumptions'!$B$6+H10*'Realistic Assumptions'!$B$7+H11*'Realistic Assumptions'!$B$5</f>
        <v>6767.2</v>
      </c>
      <c r="I14" s="83" t="n">
        <f aca="false">I9*'Realistic Assumptions'!$B$6+I10*'Realistic Assumptions'!$B$7+I11*'Realistic Assumptions'!$B$5</f>
        <v>8564.2</v>
      </c>
      <c r="J14" s="83" t="n">
        <f aca="false">J9*'Realistic Assumptions'!$B$6+J10*'Realistic Assumptions'!$B$7+J11*'Realistic Assumptions'!$B$5</f>
        <v>9103.3</v>
      </c>
      <c r="K14" s="83" t="n">
        <f aca="false">K9*'Realistic Assumptions'!$B$6+K10*'Realistic Assumptions'!$B$7+K11*'Realistic Assumptions'!$B$5</f>
        <v>10001.3</v>
      </c>
      <c r="L14" s="83" t="n">
        <f aca="false">L9*'Realistic Assumptions'!$B$6+L10*'Realistic Assumptions'!$B$7+L11*'Realistic Assumptions'!$B$5</f>
        <v>10540.4</v>
      </c>
      <c r="M14" s="83" t="n">
        <f aca="false">M9*'Realistic Assumptions'!$B$6+M10*'Realistic Assumptions'!$B$7+M11*'Realistic Assumptions'!$B$5</f>
        <v>11738.4</v>
      </c>
      <c r="N14" s="36"/>
      <c r="O14" s="84" t="n">
        <f aca="false">SUM(B14:M14)</f>
        <v>76957</v>
      </c>
    </row>
    <row r="15" customFormat="false" ht="15.75" hidden="false" customHeight="true" outlineLevel="0" collapsed="false">
      <c r="A15" s="18" t="s">
        <v>396</v>
      </c>
      <c r="B15" s="83" t="n">
        <f aca="false">(B7-B8)*ROUND('Realistic Assumptions'!$B$30/(1-'Realistic Assumptions'!$B$9),0)</f>
        <v>669</v>
      </c>
      <c r="C15" s="83" t="n">
        <f aca="false">(C7-C8)*ROUND('Realistic Assumptions'!$B$30/(1-'Realistic Assumptions'!$B$9),0)</f>
        <v>892</v>
      </c>
      <c r="D15" s="83" t="n">
        <f aca="false">(D7-D8)*ROUND('Realistic Assumptions'!$B$30/(1-'Realistic Assumptions'!$B$9),0)</f>
        <v>892</v>
      </c>
      <c r="E15" s="83" t="n">
        <f aca="false">(E7-E8)*ROUND('Realistic Assumptions'!$B$30/(1-'Realistic Assumptions'!$B$9),0)</f>
        <v>1561</v>
      </c>
      <c r="F15" s="83" t="n">
        <f aca="false">(F7-F8)*ROUND('Realistic Assumptions'!$B$30/(1-'Realistic Assumptions'!$B$9),0)</f>
        <v>1784</v>
      </c>
      <c r="G15" s="83" t="n">
        <f aca="false">(G7-G8)*ROUND('Realistic Assumptions'!$B$30/(1-'Realistic Assumptions'!$B$9),0)</f>
        <v>2230</v>
      </c>
      <c r="H15" s="83" t="n">
        <f aca="false">(H7-H8)*ROUND('Realistic Assumptions'!$B$30/(1-'Realistic Assumptions'!$B$9),0)</f>
        <v>2676</v>
      </c>
      <c r="I15" s="83" t="n">
        <f aca="false">(I7-I8)*ROUND('Realistic Assumptions'!$B$30/(1-'Realistic Assumptions'!$B$9),0)</f>
        <v>3122</v>
      </c>
      <c r="J15" s="83" t="n">
        <f aca="false">(J7-J8)*ROUND('Realistic Assumptions'!$B$30/(1-'Realistic Assumptions'!$B$9),0)</f>
        <v>3345</v>
      </c>
      <c r="K15" s="83" t="n">
        <f aca="false">(K7-K8)*ROUND('Realistic Assumptions'!$B$30/(1-'Realistic Assumptions'!$B$9),0)</f>
        <v>3791</v>
      </c>
      <c r="L15" s="83" t="n">
        <f aca="false">(L7-L8)*ROUND('Realistic Assumptions'!$B$30/(1-'Realistic Assumptions'!$B$9),0)</f>
        <v>4014</v>
      </c>
      <c r="M15" s="83" t="n">
        <f aca="false">(M7-M8)*ROUND('Realistic Assumptions'!$B$30/(1-'Realistic Assumptions'!$B$9),0)</f>
        <v>4237</v>
      </c>
      <c r="N15" s="36"/>
      <c r="O15" s="84" t="n">
        <f aca="false">SUM(B15:M15)</f>
        <v>29213</v>
      </c>
    </row>
    <row r="16" customFormat="false" ht="15.75" hidden="false" customHeight="true" outlineLevel="0" collapsed="false">
      <c r="A16" s="18" t="s">
        <v>397</v>
      </c>
      <c r="B16" s="83" t="n">
        <f aca="false">B8*ROUND(('Realistic Assumptions'!$B$30+'Realistic Assumptions'!$B$31)/(1-'Realistic Assumptions'!$B$9)*(1+'Realistic Assumptions'!$B$13),0)</f>
        <v>0</v>
      </c>
      <c r="C16" s="83" t="n">
        <f aca="false">C8*ROUND(('Realistic Assumptions'!$B$30+'Realistic Assumptions'!$B$31)/(1-'Realistic Assumptions'!$B$9)*(1+'Realistic Assumptions'!$B$13),0)</f>
        <v>0</v>
      </c>
      <c r="D16" s="83" t="n">
        <f aca="false">D8*ROUND(('Realistic Assumptions'!$B$30+'Realistic Assumptions'!$B$31)/(1-'Realistic Assumptions'!$B$9)*(1+'Realistic Assumptions'!$B$13),0)</f>
        <v>0</v>
      </c>
      <c r="E16" s="83" t="n">
        <f aca="false">E8*ROUND(('Realistic Assumptions'!$B$30+'Realistic Assumptions'!$B$31)/(1-'Realistic Assumptions'!$B$9)*(1+'Realistic Assumptions'!$B$13),0)</f>
        <v>0</v>
      </c>
      <c r="F16" s="83" t="n">
        <f aca="false">F8*ROUND(('Realistic Assumptions'!$B$30+'Realistic Assumptions'!$B$31)/(1-'Realistic Assumptions'!$B$9)*(1+'Realistic Assumptions'!$B$13),0)</f>
        <v>355</v>
      </c>
      <c r="G16" s="83" t="n">
        <f aca="false">G8*ROUND(('Realistic Assumptions'!$B$30+'Realistic Assumptions'!$B$31)/(1-'Realistic Assumptions'!$B$9)*(1+'Realistic Assumptions'!$B$13),0)</f>
        <v>355</v>
      </c>
      <c r="H16" s="83" t="n">
        <f aca="false">H8*ROUND(('Realistic Assumptions'!$B$30+'Realistic Assumptions'!$B$31)/(1-'Realistic Assumptions'!$B$9)*(1+'Realistic Assumptions'!$B$13),0)</f>
        <v>355</v>
      </c>
      <c r="I16" s="83" t="n">
        <f aca="false">I8*ROUND(('Realistic Assumptions'!$B$30+'Realistic Assumptions'!$B$31)/(1-'Realistic Assumptions'!$B$9)*(1+'Realistic Assumptions'!$B$13),0)</f>
        <v>710</v>
      </c>
      <c r="J16" s="83" t="n">
        <f aca="false">J8*ROUND(('Realistic Assumptions'!$B$30+'Realistic Assumptions'!$B$31)/(1-'Realistic Assumptions'!$B$9)*(1+'Realistic Assumptions'!$B$13),0)</f>
        <v>710</v>
      </c>
      <c r="K16" s="83" t="n">
        <f aca="false">K8*ROUND(('Realistic Assumptions'!$B$30+'Realistic Assumptions'!$B$31)/(1-'Realistic Assumptions'!$B$9)*(1+'Realistic Assumptions'!$B$13),0)</f>
        <v>710</v>
      </c>
      <c r="L16" s="83" t="n">
        <f aca="false">L8*ROUND(('Realistic Assumptions'!$B$30+'Realistic Assumptions'!$B$31)/(1-'Realistic Assumptions'!$B$9)*(1+'Realistic Assumptions'!$B$13),0)</f>
        <v>710</v>
      </c>
      <c r="M16" s="83" t="n">
        <f aca="false">M8*ROUND(('Realistic Assumptions'!$B$30+'Realistic Assumptions'!$B$31)/(1-'Realistic Assumptions'!$B$9)*(1+'Realistic Assumptions'!$B$13),0)</f>
        <v>1065</v>
      </c>
      <c r="N16" s="36"/>
      <c r="O16" s="84" t="n">
        <f aca="false">SUM(B16:M16)</f>
        <v>4970</v>
      </c>
    </row>
    <row r="17" customFormat="false" ht="15.75" hidden="false" customHeight="true" outlineLevel="0" collapsed="false">
      <c r="A17" s="18" t="s">
        <v>351</v>
      </c>
      <c r="B17" s="83" t="n">
        <f aca="false">B6*ROUND('Realistic Assumptions'!$B$30/(1-'Realistic Assumptions'!$B$10),0)</f>
        <v>0</v>
      </c>
      <c r="C17" s="83" t="n">
        <f aca="false">C6*ROUND('Realistic Assumptions'!$B$30/(1-'Realistic Assumptions'!$B$10),0)</f>
        <v>0</v>
      </c>
      <c r="D17" s="83" t="n">
        <f aca="false">D6*ROUND('Realistic Assumptions'!$B$30/(1-'Realistic Assumptions'!$B$10),0)</f>
        <v>0</v>
      </c>
      <c r="E17" s="83" t="n">
        <f aca="false">E6*ROUND('Realistic Assumptions'!$B$30/(1-'Realistic Assumptions'!$B$10),0)</f>
        <v>0</v>
      </c>
      <c r="F17" s="83" t="n">
        <f aca="false">F6*ROUND('Realistic Assumptions'!$B$30/(1-'Realistic Assumptions'!$B$10),0)</f>
        <v>190</v>
      </c>
      <c r="G17" s="83" t="n">
        <f aca="false">G6*ROUND('Realistic Assumptions'!$B$30/(1-'Realistic Assumptions'!$B$10),0)</f>
        <v>190</v>
      </c>
      <c r="H17" s="83" t="n">
        <f aca="false">H6*ROUND('Realistic Assumptions'!$B$30/(1-'Realistic Assumptions'!$B$10),0)</f>
        <v>190</v>
      </c>
      <c r="I17" s="83" t="n">
        <f aca="false">I6*ROUND('Realistic Assumptions'!$B$30/(1-'Realistic Assumptions'!$B$10),0)</f>
        <v>190</v>
      </c>
      <c r="J17" s="83" t="n">
        <f aca="false">J6*ROUND('Realistic Assumptions'!$B$30/(1-'Realistic Assumptions'!$B$10),0)</f>
        <v>190</v>
      </c>
      <c r="K17" s="83" t="n">
        <f aca="false">K6*ROUND('Realistic Assumptions'!$B$30/(1-'Realistic Assumptions'!$B$10),0)</f>
        <v>190</v>
      </c>
      <c r="L17" s="83" t="n">
        <f aca="false">L6*ROUND('Realistic Assumptions'!$B$30/(1-'Realistic Assumptions'!$B$10),0)</f>
        <v>380</v>
      </c>
      <c r="M17" s="83" t="n">
        <f aca="false">M6*ROUND('Realistic Assumptions'!$B$30/(1-'Realistic Assumptions'!$B$10),0)</f>
        <v>380</v>
      </c>
      <c r="N17" s="36"/>
      <c r="O17" s="84" t="n">
        <f aca="false">SUM(B17:M17)</f>
        <v>1900</v>
      </c>
    </row>
    <row r="18" customFormat="false" ht="15.75" hidden="false" customHeight="true" outlineLevel="0" collapsed="false">
      <c r="A18" s="23" t="s">
        <v>352</v>
      </c>
      <c r="B18" s="81" t="n">
        <f aca="false">ROUND(B5*'Realistic Assumptions'!$B$58*'Realistic Assumptions'!$B$14,0)</f>
        <v>2</v>
      </c>
      <c r="C18" s="81" t="n">
        <f aca="false">ROUND(C5*'Realistic Assumptions'!$B$58*'Realistic Assumptions'!$B$14,0)</f>
        <v>2</v>
      </c>
      <c r="D18" s="81" t="n">
        <f aca="false">ROUND(D5*'Realistic Assumptions'!$B$58*'Realistic Assumptions'!$B$14,0)</f>
        <v>2</v>
      </c>
      <c r="E18" s="81" t="n">
        <f aca="false">ROUND(E5*'Realistic Assumptions'!$B$58*'Realistic Assumptions'!$B$14,0)</f>
        <v>4</v>
      </c>
      <c r="F18" s="81" t="n">
        <f aca="false">ROUND(F5*'Realistic Assumptions'!$B$58*'Realistic Assumptions'!$B$14,0)</f>
        <v>5</v>
      </c>
      <c r="G18" s="81" t="n">
        <f aca="false">ROUND(G5*'Realistic Assumptions'!$B$58*'Realistic Assumptions'!$B$14,0)</f>
        <v>6</v>
      </c>
      <c r="H18" s="81" t="n">
        <f aca="false">ROUND(H5*'Realistic Assumptions'!$B$58*'Realistic Assumptions'!$B$14,0)</f>
        <v>7</v>
      </c>
      <c r="I18" s="81" t="n">
        <f aca="false">ROUND(I5*'Realistic Assumptions'!$B$58*'Realistic Assumptions'!$B$14,0)</f>
        <v>9</v>
      </c>
      <c r="J18" s="81" t="n">
        <f aca="false">ROUND(J5*'Realistic Assumptions'!$B$58*'Realistic Assumptions'!$B$14,0)</f>
        <v>9</v>
      </c>
      <c r="K18" s="81" t="n">
        <f aca="false">ROUND(K5*'Realistic Assumptions'!$B$58*'Realistic Assumptions'!$B$14,0)</f>
        <v>10</v>
      </c>
      <c r="L18" s="81" t="n">
        <f aca="false">ROUND(L5*'Realistic Assumptions'!$B$58*'Realistic Assumptions'!$B$14,0)</f>
        <v>11</v>
      </c>
      <c r="M18" s="81" t="n">
        <f aca="false">ROUND(M5*'Realistic Assumptions'!$B$58*'Realistic Assumptions'!$B$14,0)</f>
        <v>12</v>
      </c>
      <c r="N18" s="82"/>
      <c r="O18" s="81" t="n">
        <f aca="false">SUM(B18:M18)</f>
        <v>79</v>
      </c>
    </row>
    <row r="19" customFormat="false" ht="15.75" hidden="false" customHeight="true" outlineLevel="0" collapsed="false">
      <c r="A19" s="18" t="s">
        <v>19</v>
      </c>
      <c r="B19" s="84" t="n">
        <f aca="false">SUM(B14:B18)</f>
        <v>2168</v>
      </c>
      <c r="C19" s="84" t="n">
        <f aca="false">SUM(C14:C18)</f>
        <v>2990</v>
      </c>
      <c r="D19" s="84" t="n">
        <f aca="false">SUM(D14:D18)</f>
        <v>2990</v>
      </c>
      <c r="E19" s="84" t="n">
        <f aca="false">SUM(E14:E18)</f>
        <v>5458</v>
      </c>
      <c r="F19" s="84" t="n">
        <f aca="false">SUM(F14:F18)</f>
        <v>7065.1</v>
      </c>
      <c r="G19" s="84" t="n">
        <f aca="false">SUM(G14:G18)</f>
        <v>8710.1</v>
      </c>
      <c r="H19" s="84" t="n">
        <f aca="false">SUM(H14:H18)</f>
        <v>9995.2</v>
      </c>
      <c r="I19" s="84" t="n">
        <f aca="false">SUM(I14:I18)</f>
        <v>12595.2</v>
      </c>
      <c r="J19" s="84" t="n">
        <f aca="false">SUM(J14:J18)</f>
        <v>13357.3</v>
      </c>
      <c r="K19" s="84" t="n">
        <f aca="false">SUM(K14:K18)</f>
        <v>14702.3</v>
      </c>
      <c r="L19" s="84" t="n">
        <f aca="false">SUM(L14:L18)</f>
        <v>15655.4</v>
      </c>
      <c r="M19" s="84" t="n">
        <f aca="false">SUM(M14:M18)</f>
        <v>17432.4</v>
      </c>
      <c r="N19" s="36"/>
      <c r="O19" s="84" t="n">
        <f aca="false">SUM(B19:M19)</f>
        <v>113119</v>
      </c>
    </row>
    <row r="21" customFormat="false" ht="18" hidden="false" customHeight="true" outlineLevel="0" collapsed="false">
      <c r="A21" s="18" t="s">
        <v>353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</row>
    <row r="22" customFormat="false" ht="15.75" hidden="false" customHeight="true" outlineLevel="0" collapsed="false">
      <c r="A22" s="23" t="s">
        <v>398</v>
      </c>
      <c r="B22" s="81" t="n">
        <f aca="false">B5*'Realistic Assumptions'!$B$30+B8*'Realistic Assumptions'!$B$31</f>
        <v>495</v>
      </c>
      <c r="C22" s="81" t="n">
        <f aca="false">C5*'Realistic Assumptions'!$B$30+C8*'Realistic Assumptions'!$B$31</f>
        <v>660</v>
      </c>
      <c r="D22" s="81" t="n">
        <f aca="false">D5*'Realistic Assumptions'!$B$30+D8*'Realistic Assumptions'!$B$31</f>
        <v>660</v>
      </c>
      <c r="E22" s="81" t="n">
        <f aca="false">E5*'Realistic Assumptions'!$B$30+E8*'Realistic Assumptions'!$B$31</f>
        <v>1155</v>
      </c>
      <c r="F22" s="81" t="n">
        <f aca="false">F5*'Realistic Assumptions'!$B$30+F8*'Realistic Assumptions'!$B$31</f>
        <v>1676</v>
      </c>
      <c r="G22" s="81" t="n">
        <f aca="false">G5*'Realistic Assumptions'!$B$30+G8*'Realistic Assumptions'!$B$31</f>
        <v>2006</v>
      </c>
      <c r="H22" s="81" t="n">
        <f aca="false">H5*'Realistic Assumptions'!$B$30+H8*'Realistic Assumptions'!$B$31</f>
        <v>2336</v>
      </c>
      <c r="I22" s="81" t="n">
        <f aca="false">I5*'Realistic Assumptions'!$B$30+I8*'Realistic Assumptions'!$B$31</f>
        <v>2857</v>
      </c>
      <c r="J22" s="81" t="n">
        <f aca="false">J5*'Realistic Assumptions'!$B$30+J8*'Realistic Assumptions'!$B$31</f>
        <v>3022</v>
      </c>
      <c r="K22" s="81" t="n">
        <f aca="false">K5*'Realistic Assumptions'!$B$30+K8*'Realistic Assumptions'!$B$31</f>
        <v>3352</v>
      </c>
      <c r="L22" s="81" t="n">
        <f aca="false">L5*'Realistic Assumptions'!$B$30+L8*'Realistic Assumptions'!$B$31</f>
        <v>3682</v>
      </c>
      <c r="M22" s="81" t="n">
        <f aca="false">M5*'Realistic Assumptions'!$B$30+M8*'Realistic Assumptions'!$B$31</f>
        <v>4038</v>
      </c>
      <c r="N22" s="82"/>
      <c r="O22" s="81" t="n">
        <f aca="false">SUM(B22:M22)</f>
        <v>25939</v>
      </c>
    </row>
    <row r="23" customFormat="false" ht="15.75" hidden="false" customHeight="true" outlineLevel="0" collapsed="false">
      <c r="A23" s="18" t="s">
        <v>306</v>
      </c>
      <c r="B23" s="83" t="n">
        <f aca="false">B7*'Realistic Assumptions'!$B$43</f>
        <v>891</v>
      </c>
      <c r="C23" s="83" t="n">
        <f aca="false">C7*'Realistic Assumptions'!$B$43</f>
        <v>1188</v>
      </c>
      <c r="D23" s="83" t="n">
        <f aca="false">D7*'Realistic Assumptions'!$B$43</f>
        <v>1188</v>
      </c>
      <c r="E23" s="83" t="n">
        <f aca="false">E7*'Realistic Assumptions'!$B$43</f>
        <v>2079</v>
      </c>
      <c r="F23" s="83" t="n">
        <f aca="false">F7*'Realistic Assumptions'!$B$43</f>
        <v>2673</v>
      </c>
      <c r="G23" s="83" t="n">
        <f aca="false">G7*'Realistic Assumptions'!$B$43</f>
        <v>3267</v>
      </c>
      <c r="H23" s="83" t="n">
        <f aca="false">H7*'Realistic Assumptions'!$B$43</f>
        <v>3861</v>
      </c>
      <c r="I23" s="83" t="n">
        <f aca="false">I7*'Realistic Assumptions'!$B$43</f>
        <v>4752</v>
      </c>
      <c r="J23" s="83" t="n">
        <f aca="false">J7*'Realistic Assumptions'!$B$43</f>
        <v>5049</v>
      </c>
      <c r="K23" s="83" t="n">
        <f aca="false">K7*'Realistic Assumptions'!$B$43</f>
        <v>5643</v>
      </c>
      <c r="L23" s="83" t="n">
        <f aca="false">L7*'Realistic Assumptions'!$B$43</f>
        <v>5940</v>
      </c>
      <c r="M23" s="83" t="n">
        <f aca="false">M7*'Realistic Assumptions'!$B$43</f>
        <v>6534</v>
      </c>
      <c r="N23" s="36"/>
      <c r="O23" s="84" t="n">
        <f aca="false">SUM(B23:M23)</f>
        <v>43065</v>
      </c>
    </row>
    <row r="24" customFormat="false" ht="15.75" hidden="false" customHeight="true" outlineLevel="0" collapsed="false">
      <c r="A24" s="23" t="s">
        <v>308</v>
      </c>
      <c r="B24" s="81" t="n">
        <f aca="false">B7*'Realistic Assumptions'!$B$27</f>
        <v>6</v>
      </c>
      <c r="C24" s="81" t="n">
        <f aca="false">C7*'Realistic Assumptions'!$B$27</f>
        <v>8</v>
      </c>
      <c r="D24" s="81" t="n">
        <f aca="false">D7*'Realistic Assumptions'!$B$27</f>
        <v>8</v>
      </c>
      <c r="E24" s="81" t="n">
        <f aca="false">E7*'Realistic Assumptions'!$B$27</f>
        <v>14</v>
      </c>
      <c r="F24" s="81" t="n">
        <f aca="false">F7*'Realistic Assumptions'!$B$27</f>
        <v>18</v>
      </c>
      <c r="G24" s="81" t="n">
        <f aca="false">G7*'Realistic Assumptions'!$B$27</f>
        <v>22</v>
      </c>
      <c r="H24" s="81" t="n">
        <f aca="false">H7*'Realistic Assumptions'!$B$27</f>
        <v>26</v>
      </c>
      <c r="I24" s="81" t="n">
        <f aca="false">I7*'Realistic Assumptions'!$B$27</f>
        <v>32</v>
      </c>
      <c r="J24" s="81" t="n">
        <f aca="false">J7*'Realistic Assumptions'!$B$27</f>
        <v>34</v>
      </c>
      <c r="K24" s="81" t="n">
        <f aca="false">K7*'Realistic Assumptions'!$B$27</f>
        <v>38</v>
      </c>
      <c r="L24" s="81" t="n">
        <f aca="false">L7*'Realistic Assumptions'!$B$27</f>
        <v>40</v>
      </c>
      <c r="M24" s="81" t="n">
        <f aca="false">M7*'Realistic Assumptions'!$B$27</f>
        <v>44</v>
      </c>
      <c r="N24" s="82"/>
      <c r="O24" s="81" t="n">
        <f aca="false">SUM(B24:M24)</f>
        <v>290</v>
      </c>
    </row>
    <row r="25" customFormat="false" ht="15.75" hidden="false" customHeight="true" outlineLevel="0" collapsed="false">
      <c r="A25" s="49" t="s">
        <v>355</v>
      </c>
      <c r="B25" s="85" t="n">
        <f aca="false">B7*'Realistic Assumptions'!$B$28</f>
        <v>3</v>
      </c>
      <c r="C25" s="85" t="n">
        <f aca="false">C7*'Realistic Assumptions'!$B$28</f>
        <v>4</v>
      </c>
      <c r="D25" s="85" t="n">
        <f aca="false">D7*'Realistic Assumptions'!$B$28</f>
        <v>4</v>
      </c>
      <c r="E25" s="85" t="n">
        <f aca="false">E7*'Realistic Assumptions'!$B$28</f>
        <v>7</v>
      </c>
      <c r="F25" s="85" t="n">
        <f aca="false">F7*'Realistic Assumptions'!$B$28</f>
        <v>9</v>
      </c>
      <c r="G25" s="85" t="n">
        <f aca="false">G7*'Realistic Assumptions'!$B$28</f>
        <v>11</v>
      </c>
      <c r="H25" s="85" t="n">
        <f aca="false">H7*'Realistic Assumptions'!$B$28</f>
        <v>13</v>
      </c>
      <c r="I25" s="85" t="n">
        <f aca="false">I7*'Realistic Assumptions'!$B$28</f>
        <v>16</v>
      </c>
      <c r="J25" s="85" t="n">
        <f aca="false">J7*'Realistic Assumptions'!$B$28</f>
        <v>17</v>
      </c>
      <c r="K25" s="85" t="n">
        <f aca="false">K7*'Realistic Assumptions'!$B$28</f>
        <v>19</v>
      </c>
      <c r="L25" s="85" t="n">
        <f aca="false">L7*'Realistic Assumptions'!$B$28</f>
        <v>20</v>
      </c>
      <c r="M25" s="85" t="n">
        <f aca="false">M7*'Realistic Assumptions'!$B$28</f>
        <v>22</v>
      </c>
      <c r="N25" s="86"/>
      <c r="O25" s="85" t="n">
        <f aca="false">SUM(B25:M25)</f>
        <v>145</v>
      </c>
    </row>
    <row r="26" customFormat="false" ht="15.75" hidden="false" customHeight="true" outlineLevel="0" collapsed="false">
      <c r="A26" s="23" t="s">
        <v>310</v>
      </c>
      <c r="B26" s="81" t="n">
        <f aca="false">B7*'Realistic Assumptions'!$B$29</f>
        <v>0</v>
      </c>
      <c r="C26" s="81" t="n">
        <f aca="false">C7*'Realistic Assumptions'!$B$29</f>
        <v>0</v>
      </c>
      <c r="D26" s="81" t="n">
        <f aca="false">D7*'Realistic Assumptions'!$B$29</f>
        <v>0</v>
      </c>
      <c r="E26" s="81" t="n">
        <f aca="false">E7*'Realistic Assumptions'!$B$29</f>
        <v>0</v>
      </c>
      <c r="F26" s="81" t="n">
        <f aca="false">F7*'Realistic Assumptions'!$B$29</f>
        <v>0</v>
      </c>
      <c r="G26" s="81" t="n">
        <f aca="false">G7*'Realistic Assumptions'!$B$29</f>
        <v>0</v>
      </c>
      <c r="H26" s="81" t="n">
        <f aca="false">H7*'Realistic Assumptions'!$B$29</f>
        <v>0</v>
      </c>
      <c r="I26" s="81" t="n">
        <f aca="false">I7*'Realistic Assumptions'!$B$29</f>
        <v>0</v>
      </c>
      <c r="J26" s="81" t="n">
        <f aca="false">J7*'Realistic Assumptions'!$B$29</f>
        <v>0</v>
      </c>
      <c r="K26" s="81" t="n">
        <f aca="false">K7*'Realistic Assumptions'!$B$29</f>
        <v>0</v>
      </c>
      <c r="L26" s="81" t="n">
        <f aca="false">L7*'Realistic Assumptions'!$B$29</f>
        <v>0</v>
      </c>
      <c r="M26" s="81" t="n">
        <f aca="false">M7*'Realistic Assumptions'!$B$29</f>
        <v>0</v>
      </c>
      <c r="N26" s="82"/>
      <c r="O26" s="81" t="n">
        <f aca="false">SUM(B26:M26)</f>
        <v>0</v>
      </c>
    </row>
    <row r="27" customFormat="false" ht="15.75" hidden="false" customHeight="true" outlineLevel="0" collapsed="false">
      <c r="A27" s="49" t="s">
        <v>356</v>
      </c>
      <c r="B27" s="85" t="n">
        <f aca="false">B19*'Realistic Assumptions'!$B$32+B5*2*'Realistic Assumptions'!$B$33</f>
        <v>34.32</v>
      </c>
      <c r="C27" s="85" t="n">
        <f aca="false">C19*'Realistic Assumptions'!$B$32+C5*2*'Realistic Assumptions'!$B$33</f>
        <v>47.25</v>
      </c>
      <c r="D27" s="85" t="n">
        <f aca="false">D19*'Realistic Assumptions'!$B$32+D5*2*'Realistic Assumptions'!$B$33</f>
        <v>47.25</v>
      </c>
      <c r="E27" s="85" t="n">
        <f aca="false">E19*'Realistic Assumptions'!$B$32+E5*2*'Realistic Assumptions'!$B$33</f>
        <v>86.07</v>
      </c>
      <c r="F27" s="85" t="n">
        <f aca="false">F19*'Realistic Assumptions'!$B$32+F5*2*'Realistic Assumptions'!$B$33</f>
        <v>111.9765</v>
      </c>
      <c r="G27" s="85" t="n">
        <f aca="false">G19*'Realistic Assumptions'!$B$32+G5*2*'Realistic Assumptions'!$B$33</f>
        <v>137.8515</v>
      </c>
      <c r="H27" s="85" t="n">
        <f aca="false">H19*'Realistic Assumptions'!$B$32+H5*2*'Realistic Assumptions'!$B$33</f>
        <v>158.328</v>
      </c>
      <c r="I27" s="85" t="n">
        <f aca="false">I19*'Realistic Assumptions'!$B$32+I5*2*'Realistic Assumptions'!$B$33</f>
        <v>199.128</v>
      </c>
      <c r="J27" s="85" t="n">
        <f aca="false">J19*'Realistic Assumptions'!$B$32+J5*2*'Realistic Assumptions'!$B$33</f>
        <v>211.1595</v>
      </c>
      <c r="K27" s="85" t="n">
        <f aca="false">K19*'Realistic Assumptions'!$B$32+K5*2*'Realistic Assumptions'!$B$33</f>
        <v>232.5345</v>
      </c>
      <c r="L27" s="85" t="n">
        <f aca="false">L19*'Realistic Assumptions'!$B$32+L5*2*'Realistic Assumptions'!$B$33</f>
        <v>248.031</v>
      </c>
      <c r="M27" s="85" t="n">
        <f aca="false">M19*'Realistic Assumptions'!$B$32+M5*2*'Realistic Assumptions'!$B$33</f>
        <v>275.886</v>
      </c>
      <c r="N27" s="86"/>
      <c r="O27" s="85" t="n">
        <f aca="false">SUM(B27:M27)</f>
        <v>1789.785</v>
      </c>
    </row>
    <row r="28" customFormat="false" ht="15.75" hidden="false" customHeight="true" outlineLevel="0" collapsed="false">
      <c r="A28" s="18" t="s">
        <v>357</v>
      </c>
      <c r="B28" s="84" t="n">
        <f aca="false">SUM(B22:B27)</f>
        <v>1429.32</v>
      </c>
      <c r="C28" s="84" t="n">
        <f aca="false">SUM(C22:C27)</f>
        <v>1907.25</v>
      </c>
      <c r="D28" s="84" t="n">
        <f aca="false">SUM(D22:D27)</f>
        <v>1907.25</v>
      </c>
      <c r="E28" s="84" t="n">
        <f aca="false">SUM(E22:E27)</f>
        <v>3341.07</v>
      </c>
      <c r="F28" s="84" t="n">
        <f aca="false">SUM(F22:F27)</f>
        <v>4487.9765</v>
      </c>
      <c r="G28" s="84" t="n">
        <f aca="false">SUM(G22:G27)</f>
        <v>5443.8515</v>
      </c>
      <c r="H28" s="84" t="n">
        <f aca="false">SUM(H22:H27)</f>
        <v>6394.328</v>
      </c>
      <c r="I28" s="84" t="n">
        <f aca="false">SUM(I22:I27)</f>
        <v>7856.128</v>
      </c>
      <c r="J28" s="84" t="n">
        <f aca="false">SUM(J22:J27)</f>
        <v>8333.1595</v>
      </c>
      <c r="K28" s="84" t="n">
        <f aca="false">SUM(K22:K27)</f>
        <v>9284.5345</v>
      </c>
      <c r="L28" s="84" t="n">
        <f aca="false">SUM(L22:L27)</f>
        <v>9930.031</v>
      </c>
      <c r="M28" s="84" t="n">
        <f aca="false">SUM(M22:M27)</f>
        <v>10913.886</v>
      </c>
      <c r="N28" s="36"/>
      <c r="O28" s="84" t="n">
        <f aca="false">SUM(B28:M28)</f>
        <v>71228.785</v>
      </c>
    </row>
    <row r="29" customFormat="false" ht="15.75" hidden="false" customHeight="true" outlineLevel="0" collapsed="false">
      <c r="A29" s="20" t="s">
        <v>11</v>
      </c>
      <c r="B29" s="87" t="n">
        <f aca="false">B19-B28</f>
        <v>738.68</v>
      </c>
      <c r="C29" s="87" t="n">
        <f aca="false">C19-C28</f>
        <v>1082.75</v>
      </c>
      <c r="D29" s="87" t="n">
        <f aca="false">D19-D28</f>
        <v>1082.75</v>
      </c>
      <c r="E29" s="87" t="n">
        <f aca="false">E19-E28</f>
        <v>2116.93</v>
      </c>
      <c r="F29" s="87" t="n">
        <f aca="false">F19-F28</f>
        <v>2577.1235</v>
      </c>
      <c r="G29" s="87" t="n">
        <f aca="false">G19-G28</f>
        <v>3266.2485</v>
      </c>
      <c r="H29" s="87" t="n">
        <f aca="false">H19-H28</f>
        <v>3600.872</v>
      </c>
      <c r="I29" s="87" t="n">
        <f aca="false">I19-I28</f>
        <v>4739.072</v>
      </c>
      <c r="J29" s="87" t="n">
        <f aca="false">J19-J28</f>
        <v>5024.1405</v>
      </c>
      <c r="K29" s="87" t="n">
        <f aca="false">K19-K28</f>
        <v>5417.7655</v>
      </c>
      <c r="L29" s="87" t="n">
        <f aca="false">L19-L28</f>
        <v>5725.369</v>
      </c>
      <c r="M29" s="87" t="n">
        <f aca="false">M19-M28</f>
        <v>6518.514</v>
      </c>
      <c r="N29" s="10"/>
      <c r="O29" s="87" t="n">
        <f aca="false">SUM(B29:M29)</f>
        <v>41890.215</v>
      </c>
    </row>
    <row r="30" customFormat="false" ht="15.75" hidden="false" customHeight="true" outlineLevel="0" collapsed="false">
      <c r="A30" s="20" t="s">
        <v>358</v>
      </c>
      <c r="B30" s="88" t="n">
        <f aca="false">IFERROR(B29/B19,0)</f>
        <v>0.340719557195572</v>
      </c>
      <c r="C30" s="88" t="n">
        <f aca="false">IFERROR(C29/C19,0)</f>
        <v>0.362123745819398</v>
      </c>
      <c r="D30" s="88" t="n">
        <f aca="false">IFERROR(D29/D19,0)</f>
        <v>0.362123745819398</v>
      </c>
      <c r="E30" s="88" t="n">
        <f aca="false">IFERROR(E29/E19,0)</f>
        <v>0.387858189813118</v>
      </c>
      <c r="F30" s="88" t="n">
        <f aca="false">IFERROR(F29/F19,0)</f>
        <v>0.364768156147825</v>
      </c>
      <c r="G30" s="88" t="n">
        <f aca="false">IFERROR(G29/G19,0)</f>
        <v>0.374995522439467</v>
      </c>
      <c r="H30" s="88" t="n">
        <f aca="false">IFERROR(H29/H19,0)</f>
        <v>0.360260124859933</v>
      </c>
      <c r="I30" s="88" t="n">
        <f aca="false">IFERROR(I29/I19,0)</f>
        <v>0.376260162601626</v>
      </c>
      <c r="J30" s="88" t="n">
        <f aca="false">IFERROR(J29/J19,0)</f>
        <v>0.376134435851557</v>
      </c>
      <c r="K30" s="88" t="n">
        <f aca="false">IFERROR(K29/K19,0)</f>
        <v>0.368497820068969</v>
      </c>
      <c r="L30" s="88" t="n">
        <f aca="false">IFERROR(L29/L19,0)</f>
        <v>0.36571208656438</v>
      </c>
      <c r="M30" s="88" t="n">
        <f aca="false">IFERROR(M29/M19,0)</f>
        <v>0.373930956150616</v>
      </c>
      <c r="N30" s="10"/>
      <c r="O30" s="88" t="n">
        <f aca="false">SUM(B30:M30)</f>
        <v>4.41338450333186</v>
      </c>
    </row>
    <row r="32" customFormat="false" ht="18" hidden="false" customHeight="true" outlineLevel="0" collapsed="false">
      <c r="A32" s="18" t="s">
        <v>359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</row>
    <row r="33" customFormat="false" ht="15.75" hidden="false" customHeight="true" outlineLevel="0" collapsed="false">
      <c r="A33" s="23" t="s">
        <v>360</v>
      </c>
      <c r="B33" s="81" t="n">
        <f aca="false">ROUND('Realistic Assumptions'!$B$61/12,0)</f>
        <v>150</v>
      </c>
      <c r="C33" s="81" t="n">
        <f aca="false">ROUND('Realistic Assumptions'!$B$61/12,0)</f>
        <v>150</v>
      </c>
      <c r="D33" s="81" t="n">
        <f aca="false">ROUND('Realistic Assumptions'!$B$61/12,0)</f>
        <v>150</v>
      </c>
      <c r="E33" s="81" t="n">
        <f aca="false">ROUND('Realistic Assumptions'!$B$61/12,0)</f>
        <v>150</v>
      </c>
      <c r="F33" s="81" t="n">
        <f aca="false">ROUND('Realistic Assumptions'!$B$61/12,0)</f>
        <v>150</v>
      </c>
      <c r="G33" s="81" t="n">
        <f aca="false">ROUND('Realistic Assumptions'!$B$61/12,0)</f>
        <v>150</v>
      </c>
      <c r="H33" s="81" t="n">
        <f aca="false">ROUND('Realistic Assumptions'!$B$61/12,0)</f>
        <v>150</v>
      </c>
      <c r="I33" s="81" t="n">
        <f aca="false">ROUND('Realistic Assumptions'!$B$61/12,0)</f>
        <v>150</v>
      </c>
      <c r="J33" s="81" t="n">
        <f aca="false">ROUND('Realistic Assumptions'!$B$61/12,0)</f>
        <v>150</v>
      </c>
      <c r="K33" s="81" t="n">
        <f aca="false">ROUND('Realistic Assumptions'!$B$61/12,0)</f>
        <v>150</v>
      </c>
      <c r="L33" s="81" t="n">
        <f aca="false">ROUND('Realistic Assumptions'!$B$61/12,0)</f>
        <v>150</v>
      </c>
      <c r="M33" s="81" t="n">
        <f aca="false">ROUND('Realistic Assumptions'!$B$61/12,0)</f>
        <v>150</v>
      </c>
      <c r="N33" s="82"/>
      <c r="O33" s="81" t="n">
        <f aca="false">SUM(B33:M33)</f>
        <v>1800</v>
      </c>
    </row>
    <row r="34" customFormat="false" ht="15.75" hidden="false" customHeight="true" outlineLevel="0" collapsed="false">
      <c r="A34" s="49" t="s">
        <v>361</v>
      </c>
      <c r="B34" s="85" t="n">
        <v>97</v>
      </c>
      <c r="C34" s="85" t="n">
        <v>97</v>
      </c>
      <c r="D34" s="85" t="n">
        <v>97</v>
      </c>
      <c r="E34" s="85" t="n">
        <v>97</v>
      </c>
      <c r="F34" s="85" t="n">
        <v>97</v>
      </c>
      <c r="G34" s="85" t="n">
        <v>97</v>
      </c>
      <c r="H34" s="85" t="n">
        <v>97</v>
      </c>
      <c r="I34" s="85" t="n">
        <v>97</v>
      </c>
      <c r="J34" s="85" t="n">
        <v>97</v>
      </c>
      <c r="K34" s="85" t="n">
        <v>97</v>
      </c>
      <c r="L34" s="85" t="n">
        <v>97</v>
      </c>
      <c r="M34" s="85" t="n">
        <v>97</v>
      </c>
      <c r="N34" s="86"/>
      <c r="O34" s="85" t="n">
        <f aca="false">SUM(B34:M34)</f>
        <v>1164</v>
      </c>
    </row>
    <row r="35" customFormat="false" ht="15.75" hidden="false" customHeight="true" outlineLevel="0" collapsed="false">
      <c r="A35" s="23" t="s">
        <v>362</v>
      </c>
      <c r="B35" s="81" t="n">
        <f aca="false">ROUND('Realistic Assumptions'!$B$66/12,0)</f>
        <v>275</v>
      </c>
      <c r="C35" s="81" t="n">
        <f aca="false">ROUND('Realistic Assumptions'!$B$66/12,0)</f>
        <v>275</v>
      </c>
      <c r="D35" s="81" t="n">
        <f aca="false">ROUND('Realistic Assumptions'!$B$66/12,0)</f>
        <v>275</v>
      </c>
      <c r="E35" s="81" t="n">
        <f aca="false">ROUND('Realistic Assumptions'!$B$66/12,0)</f>
        <v>275</v>
      </c>
      <c r="F35" s="81" t="n">
        <f aca="false">ROUND('Realistic Assumptions'!$B$66/12,0)</f>
        <v>275</v>
      </c>
      <c r="G35" s="81" t="n">
        <f aca="false">ROUND('Realistic Assumptions'!$B$66/12,0)</f>
        <v>275</v>
      </c>
      <c r="H35" s="81" t="n">
        <f aca="false">ROUND('Realistic Assumptions'!$B$66/12,0)</f>
        <v>275</v>
      </c>
      <c r="I35" s="81" t="n">
        <f aca="false">ROUND('Realistic Assumptions'!$B$66/12,0)</f>
        <v>275</v>
      </c>
      <c r="J35" s="81" t="n">
        <f aca="false">ROUND('Realistic Assumptions'!$B$66/12,0)</f>
        <v>275</v>
      </c>
      <c r="K35" s="81" t="n">
        <f aca="false">ROUND('Realistic Assumptions'!$B$66/12,0)</f>
        <v>275</v>
      </c>
      <c r="L35" s="81" t="n">
        <f aca="false">ROUND('Realistic Assumptions'!$B$66/12,0)</f>
        <v>275</v>
      </c>
      <c r="M35" s="81" t="n">
        <f aca="false">ROUND('Realistic Assumptions'!$B$66/12,0)</f>
        <v>275</v>
      </c>
      <c r="N35" s="82"/>
      <c r="O35" s="81" t="n">
        <f aca="false">SUM(B35:M35)</f>
        <v>3300</v>
      </c>
    </row>
    <row r="36" customFormat="false" ht="15.75" hidden="false" customHeight="true" outlineLevel="0" collapsed="false">
      <c r="A36" s="75" t="s">
        <v>363</v>
      </c>
      <c r="B36" s="86" t="n">
        <f aca="false">ROUND('Realistic Assumptions'!$B$67/12,0)</f>
        <v>42</v>
      </c>
      <c r="C36" s="86" t="n">
        <f aca="false">ROUND('Realistic Assumptions'!$B$67/12,0)</f>
        <v>42</v>
      </c>
      <c r="D36" s="86" t="n">
        <f aca="false">ROUND('Realistic Assumptions'!$B$67/12,0)</f>
        <v>42</v>
      </c>
      <c r="E36" s="86" t="n">
        <f aca="false">ROUND('Realistic Assumptions'!$B$67/12,0)</f>
        <v>42</v>
      </c>
      <c r="F36" s="86" t="n">
        <f aca="false">ROUND('Realistic Assumptions'!$B$67/12,0)</f>
        <v>42</v>
      </c>
      <c r="G36" s="86" t="n">
        <f aca="false">ROUND('Realistic Assumptions'!$B$67/12,0)</f>
        <v>42</v>
      </c>
      <c r="H36" s="86" t="n">
        <f aca="false">ROUND('Realistic Assumptions'!$B$67/12,0)</f>
        <v>42</v>
      </c>
      <c r="I36" s="86" t="n">
        <f aca="false">ROUND('Realistic Assumptions'!$B$67/12,0)</f>
        <v>42</v>
      </c>
      <c r="J36" s="86" t="n">
        <f aca="false">ROUND('Realistic Assumptions'!$B$67/12,0)</f>
        <v>42</v>
      </c>
      <c r="K36" s="86" t="n">
        <f aca="false">ROUND('Realistic Assumptions'!$B$67/12,0)</f>
        <v>42</v>
      </c>
      <c r="L36" s="86" t="n">
        <f aca="false">ROUND('Realistic Assumptions'!$B$67/12,0)</f>
        <v>42</v>
      </c>
      <c r="M36" s="86" t="n">
        <f aca="false">ROUND('Realistic Assumptions'!$B$67/12,0)</f>
        <v>42</v>
      </c>
      <c r="N36" s="86"/>
      <c r="O36" s="86" t="n">
        <f aca="false">SUM(B36:M36)</f>
        <v>504</v>
      </c>
    </row>
    <row r="37" customFormat="false" ht="15" hidden="false" customHeight="true" outlineLevel="0" collapsed="false">
      <c r="A37" s="12" t="s">
        <v>364</v>
      </c>
      <c r="B37" s="82" t="n">
        <v>1125</v>
      </c>
      <c r="C37" s="82" t="n">
        <v>1125</v>
      </c>
      <c r="D37" s="82" t="n">
        <v>1125</v>
      </c>
      <c r="E37" s="82" t="n">
        <v>1125</v>
      </c>
      <c r="F37" s="82" t="n">
        <v>1125</v>
      </c>
      <c r="G37" s="82" t="n">
        <v>1125</v>
      </c>
      <c r="H37" s="82" t="n">
        <v>1125</v>
      </c>
      <c r="I37" s="82" t="n">
        <v>1125</v>
      </c>
      <c r="J37" s="82" t="n">
        <v>1125</v>
      </c>
      <c r="K37" s="82" t="n">
        <v>1125</v>
      </c>
      <c r="L37" s="82" t="n">
        <v>1125</v>
      </c>
      <c r="M37" s="82" t="n">
        <v>1125</v>
      </c>
      <c r="N37" s="82"/>
      <c r="O37" s="82" t="n">
        <f aca="false">SUM(B37:M37)</f>
        <v>13500</v>
      </c>
    </row>
    <row r="38" customFormat="false" ht="18" hidden="false" customHeight="true" outlineLevel="0" collapsed="false">
      <c r="A38" s="12" t="s">
        <v>399</v>
      </c>
      <c r="B38" s="1" t="n">
        <f aca="false">ROUND('Realistic Assumptions'!$B$71/12,0)</f>
        <v>145</v>
      </c>
      <c r="C38" s="1" t="n">
        <f aca="false">ROUND('Realistic Assumptions'!$B$71/12,0)</f>
        <v>145</v>
      </c>
      <c r="D38" s="1" t="n">
        <f aca="false">ROUND('Realistic Assumptions'!$B$71/12,0)</f>
        <v>145</v>
      </c>
      <c r="E38" s="1" t="n">
        <f aca="false">ROUND('Realistic Assumptions'!$B$71/12,0)</f>
        <v>145</v>
      </c>
      <c r="F38" s="1" t="n">
        <f aca="false">ROUND('Realistic Assumptions'!$B$71/12,0)</f>
        <v>145</v>
      </c>
      <c r="G38" s="1" t="n">
        <f aca="false">ROUND('Realistic Assumptions'!$B$71/12,0)</f>
        <v>145</v>
      </c>
      <c r="H38" s="1" t="n">
        <f aca="false">ROUND('Realistic Assumptions'!$B$71/12,0)</f>
        <v>145</v>
      </c>
      <c r="I38" s="1" t="n">
        <f aca="false">ROUND('Realistic Assumptions'!$B$71/12,0)</f>
        <v>145</v>
      </c>
      <c r="J38" s="1" t="n">
        <f aca="false">ROUND('Realistic Assumptions'!$B$71/12,0)</f>
        <v>145</v>
      </c>
      <c r="K38" s="1" t="n">
        <f aca="false">ROUND('Realistic Assumptions'!$B$71/12,0)</f>
        <v>145</v>
      </c>
      <c r="L38" s="1" t="n">
        <f aca="false">ROUND('Realistic Assumptions'!$B$71/12,0)</f>
        <v>145</v>
      </c>
      <c r="M38" s="1" t="n">
        <f aca="false">ROUND('Realistic Assumptions'!$B$71/12,0)</f>
        <v>145</v>
      </c>
      <c r="O38" s="1" t="n">
        <f aca="false">SUM(B38:M38)</f>
        <v>1740</v>
      </c>
    </row>
    <row r="39" customFormat="false" ht="18" hidden="false" customHeight="true" outlineLevel="0" collapsed="false">
      <c r="A39" s="105" t="s">
        <v>369</v>
      </c>
      <c r="B39" s="84" t="n">
        <f aca="false">SUM(B33:B38)</f>
        <v>1834</v>
      </c>
      <c r="C39" s="84" t="n">
        <f aca="false">SUM(C33:C38)</f>
        <v>1834</v>
      </c>
      <c r="D39" s="84" t="n">
        <f aca="false">SUM(D33:D38)</f>
        <v>1834</v>
      </c>
      <c r="E39" s="84" t="n">
        <f aca="false">SUM(E33:E38)</f>
        <v>1834</v>
      </c>
      <c r="F39" s="84" t="n">
        <f aca="false">SUM(F33:F38)</f>
        <v>1834</v>
      </c>
      <c r="G39" s="84" t="n">
        <f aca="false">SUM(G33:G38)</f>
        <v>1834</v>
      </c>
      <c r="H39" s="84" t="n">
        <f aca="false">SUM(H33:H38)</f>
        <v>1834</v>
      </c>
      <c r="I39" s="84" t="n">
        <f aca="false">SUM(I33:I38)</f>
        <v>1834</v>
      </c>
      <c r="J39" s="84" t="n">
        <f aca="false">SUM(J33:J38)</f>
        <v>1834</v>
      </c>
      <c r="K39" s="84" t="n">
        <f aca="false">SUM(K33:K38)</f>
        <v>1834</v>
      </c>
      <c r="L39" s="84" t="n">
        <f aca="false">SUM(L33:L38)</f>
        <v>1834</v>
      </c>
      <c r="M39" s="84" t="n">
        <f aca="false">SUM(M33:M38)</f>
        <v>1834</v>
      </c>
      <c r="N39" s="36"/>
      <c r="O39" s="84" t="n">
        <f aca="false">SUM(B39:M39)</f>
        <v>22008</v>
      </c>
    </row>
    <row r="40" customFormat="false" ht="15" hidden="false" customHeight="true" outlineLevel="0" collapsed="false">
      <c r="A40" s="35" t="s">
        <v>400</v>
      </c>
    </row>
    <row r="41" customFormat="false" ht="15" hidden="false" customHeight="true" outlineLevel="0" collapsed="false">
      <c r="A41" s="106" t="s">
        <v>401</v>
      </c>
      <c r="B41" s="87" t="n">
        <f aca="false">B29-B39</f>
        <v>-1095.32</v>
      </c>
      <c r="C41" s="87" t="n">
        <f aca="false">C29-C39</f>
        <v>-751.25</v>
      </c>
      <c r="D41" s="87" t="n">
        <f aca="false">D29-D39</f>
        <v>-751.25</v>
      </c>
      <c r="E41" s="87" t="n">
        <f aca="false">E29-E39</f>
        <v>282.93</v>
      </c>
      <c r="F41" s="87" t="n">
        <f aca="false">F29-F39</f>
        <v>743.123500000001</v>
      </c>
      <c r="G41" s="87" t="n">
        <f aca="false">G29-G39</f>
        <v>1432.2485</v>
      </c>
      <c r="H41" s="87" t="n">
        <f aca="false">H29-H39</f>
        <v>1766.872</v>
      </c>
      <c r="I41" s="87" t="n">
        <f aca="false">I29-I39</f>
        <v>2905.072</v>
      </c>
      <c r="J41" s="87" t="n">
        <f aca="false">J29-J39</f>
        <v>3190.1405</v>
      </c>
      <c r="K41" s="87" t="n">
        <f aca="false">K29-K39</f>
        <v>3583.7655</v>
      </c>
      <c r="L41" s="87" t="n">
        <f aca="false">L29-L39</f>
        <v>3891.369</v>
      </c>
      <c r="M41" s="87" t="n">
        <f aca="false">M29-M39</f>
        <v>4684.514</v>
      </c>
      <c r="N41" s="10"/>
      <c r="O41" s="87" t="n">
        <f aca="false">SUM(B41:M41)</f>
        <v>19882.215</v>
      </c>
    </row>
    <row r="42" customFormat="false" ht="15" hidden="false" customHeight="true" outlineLevel="0" collapsed="false">
      <c r="A42" s="107" t="s">
        <v>402</v>
      </c>
      <c r="B42" s="87" t="n">
        <f aca="false">SUM($B$41:B41)</f>
        <v>-1095.32</v>
      </c>
      <c r="C42" s="87" t="n">
        <f aca="false">SUM($B$41:C41)</f>
        <v>-1846.57</v>
      </c>
      <c r="D42" s="87" t="n">
        <f aca="false">SUM($B$41:D41)</f>
        <v>-2597.82</v>
      </c>
      <c r="E42" s="87" t="n">
        <f aca="false">SUM($B$41:E41)</f>
        <v>-2314.89</v>
      </c>
      <c r="F42" s="87" t="n">
        <f aca="false">SUM($B$41:F41)</f>
        <v>-1571.7665</v>
      </c>
      <c r="G42" s="87" t="n">
        <f aca="false">SUM($B$41:G41)</f>
        <v>-139.517999999999</v>
      </c>
      <c r="H42" s="87" t="n">
        <f aca="false">SUM($B$41:H41)</f>
        <v>1627.354</v>
      </c>
      <c r="I42" s="87" t="n">
        <f aca="false">SUM($B$41:I41)</f>
        <v>4532.426</v>
      </c>
      <c r="J42" s="87" t="n">
        <f aca="false">SUM($B$41:J41)</f>
        <v>7722.5665</v>
      </c>
      <c r="K42" s="87" t="n">
        <f aca="false">SUM($B$41:K41)</f>
        <v>11306.332</v>
      </c>
      <c r="L42" s="87" t="n">
        <f aca="false">SUM($B$41:L41)</f>
        <v>15197.701</v>
      </c>
      <c r="M42" s="87" t="n">
        <f aca="false">SUM($B$41:M41)</f>
        <v>19882.215</v>
      </c>
      <c r="N42" s="10"/>
      <c r="O42" s="87" t="n">
        <f aca="false">SUM(B42:M42)</f>
        <v>50702.71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3D3F"/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5"/>
    <col collapsed="false" customWidth="true" hidden="false" outlineLevel="0" max="6" min="5" style="1" width="12"/>
  </cols>
  <sheetData>
    <row r="1" customFormat="false" ht="31.5" hidden="false" customHeight="true" outlineLevel="0" collapsed="false">
      <c r="A1" s="45" t="s">
        <v>403</v>
      </c>
      <c r="B1" s="46"/>
      <c r="C1" s="46"/>
      <c r="D1" s="46"/>
      <c r="E1" s="46"/>
      <c r="F1" s="46"/>
    </row>
    <row r="3" customFormat="false" ht="27.75" hidden="false" customHeight="true" outlineLevel="0" collapsed="false">
      <c r="A3" s="108"/>
      <c r="B3" s="80" t="s">
        <v>335</v>
      </c>
      <c r="C3" s="80" t="s">
        <v>336</v>
      </c>
      <c r="D3" s="80" t="s">
        <v>337</v>
      </c>
      <c r="E3" s="80" t="s">
        <v>404</v>
      </c>
      <c r="F3" s="80" t="s">
        <v>405</v>
      </c>
    </row>
    <row r="5" customFormat="false" ht="18" hidden="false" customHeight="true" outlineLevel="0" collapsed="false">
      <c r="A5" s="18" t="s">
        <v>340</v>
      </c>
      <c r="B5" s="36"/>
      <c r="C5" s="36"/>
      <c r="D5" s="36"/>
      <c r="E5" s="36"/>
      <c r="F5" s="36"/>
    </row>
    <row r="6" customFormat="false" ht="16.5" hidden="false" customHeight="true" outlineLevel="0" collapsed="false">
      <c r="A6" s="20" t="s">
        <v>9</v>
      </c>
      <c r="B6" s="102" t="n">
        <f aca="false">'Realistic Y1 Monthly'!O5</f>
        <v>155</v>
      </c>
      <c r="C6" s="102" t="n">
        <f aca="false">'Realistic Assumptions'!$B$47</f>
        <v>600</v>
      </c>
      <c r="D6" s="102" t="n">
        <f aca="false">'Realistic Assumptions'!$B$48</f>
        <v>1800</v>
      </c>
      <c r="E6" s="88" t="n">
        <f aca="false">IFERROR((C6-B6)/ABS(B6),"-")</f>
        <v>2.87096774193548</v>
      </c>
      <c r="F6" s="88" t="n">
        <f aca="false">IFERROR((D6-C6)/ABS(C6),"-")</f>
        <v>2</v>
      </c>
    </row>
    <row r="7" customFormat="false" ht="16.5" hidden="false" customHeight="true" outlineLevel="0" collapsed="false">
      <c r="A7" s="23" t="s">
        <v>341</v>
      </c>
      <c r="B7" s="109" t="n">
        <f aca="false">'Realistic Y1 Monthly'!O7</f>
        <v>145</v>
      </c>
      <c r="C7" s="109" t="n">
        <f aca="false">ROUND(C6*(1-'Realistic Assumptions'!$B$50),0)</f>
        <v>558</v>
      </c>
      <c r="D7" s="109" t="n">
        <f aca="false">ROUND(D6*(1-'Realistic Assumptions'!$B$51),0)</f>
        <v>1674</v>
      </c>
      <c r="E7" s="110" t="n">
        <f aca="false">IFERROR((C7-B7)/ABS(B7),"-")</f>
        <v>2.84827586206897</v>
      </c>
      <c r="F7" s="110" t="n">
        <f aca="false">IFERROR((D7-C7)/ABS(C7),"-")</f>
        <v>2</v>
      </c>
    </row>
    <row r="8" customFormat="false" ht="16.5" hidden="false" customHeight="true" outlineLevel="0" collapsed="false">
      <c r="A8" s="49" t="s">
        <v>342</v>
      </c>
      <c r="B8" s="111" t="n">
        <f aca="false">'Realistic Y1 Monthly'!O11</f>
        <v>96</v>
      </c>
      <c r="C8" s="111" t="n">
        <f aca="false">C7-C9-C10</f>
        <v>390</v>
      </c>
      <c r="D8" s="111" t="n">
        <f aca="false">D7-D9-D10</f>
        <v>1088</v>
      </c>
      <c r="E8" s="112" t="n">
        <f aca="false">IFERROR((C8-B8)/ABS(B8),"-")</f>
        <v>3.0625</v>
      </c>
      <c r="F8" s="112" t="n">
        <f aca="false">IFERROR((D8-C8)/ABS(C8),"-")</f>
        <v>1.78974358974359</v>
      </c>
    </row>
    <row r="9" customFormat="false" ht="16.5" hidden="false" customHeight="true" outlineLevel="0" collapsed="false">
      <c r="A9" s="23" t="s">
        <v>343</v>
      </c>
      <c r="B9" s="109" t="n">
        <f aca="false">'Realistic Y1 Monthly'!O9</f>
        <v>29</v>
      </c>
      <c r="C9" s="109" t="n">
        <f aca="false">ROUND(C7*'Realistic Assumptions'!$B$12,0)</f>
        <v>28</v>
      </c>
      <c r="D9" s="109" t="n">
        <f aca="false">0</f>
        <v>0</v>
      </c>
      <c r="E9" s="110" t="n">
        <f aca="false">IFERROR((C9-B9)/ABS(B9),"-")</f>
        <v>-0.0344827586206897</v>
      </c>
      <c r="F9" s="110" t="n">
        <f aca="false">IFERROR((D9-C9)/ABS(C9),"-")</f>
        <v>-1</v>
      </c>
    </row>
    <row r="10" customFormat="false" ht="16.5" hidden="false" customHeight="true" outlineLevel="0" collapsed="false">
      <c r="A10" s="49" t="s">
        <v>344</v>
      </c>
      <c r="B10" s="111" t="n">
        <f aca="false">'Realistic Y1 Monthly'!O10</f>
        <v>20</v>
      </c>
      <c r="C10" s="111" t="n">
        <f aca="false">ROUND(C7*'Realistic Assumptions'!$B$53,0)</f>
        <v>140</v>
      </c>
      <c r="D10" s="111" t="n">
        <f aca="false">ROUND(D7*'Realistic Assumptions'!$B$54,0)</f>
        <v>586</v>
      </c>
      <c r="E10" s="112" t="n">
        <f aca="false">IFERROR((C10-B10)/ABS(B10),"-")</f>
        <v>6</v>
      </c>
      <c r="F10" s="112" t="n">
        <f aca="false">IFERROR((D10-C10)/ABS(C10),"-")</f>
        <v>3.18571428571429</v>
      </c>
    </row>
    <row r="11" customFormat="false" ht="16.5" hidden="false" customHeight="true" outlineLevel="0" collapsed="false">
      <c r="A11" s="23" t="s">
        <v>345</v>
      </c>
      <c r="B11" s="109" t="n">
        <f aca="false">'Realistic Y1 Monthly'!O8</f>
        <v>14</v>
      </c>
      <c r="C11" s="109" t="n">
        <f aca="false">ROUND(C7*'Realistic Assumptions'!$B$56,0)</f>
        <v>67</v>
      </c>
      <c r="D11" s="109" t="n">
        <f aca="false">ROUND(D7*'Realistic Assumptions'!$B$57,0)</f>
        <v>251</v>
      </c>
      <c r="E11" s="110" t="n">
        <f aca="false">IFERROR((C11-B11)/ABS(B11),"-")</f>
        <v>3.78571428571429</v>
      </c>
      <c r="F11" s="110" t="n">
        <f aca="false">IFERROR((D11-C11)/ABS(C11),"-")</f>
        <v>2.74626865671642</v>
      </c>
    </row>
    <row r="12" customFormat="false" ht="16.5" hidden="false" customHeight="true" outlineLevel="0" collapsed="false">
      <c r="A12" s="49" t="s">
        <v>346</v>
      </c>
      <c r="B12" s="111" t="n">
        <f aca="false">'Realistic Y1 Monthly'!O6</f>
        <v>10</v>
      </c>
      <c r="C12" s="111" t="n">
        <f aca="false">ROUND(C6*'Realistic Assumptions'!$B$50,0)</f>
        <v>42</v>
      </c>
      <c r="D12" s="111" t="n">
        <f aca="false">ROUND(D6*'Realistic Assumptions'!$B$51,0)</f>
        <v>126</v>
      </c>
      <c r="E12" s="112" t="n">
        <f aca="false">IFERROR((C12-B12)/ABS(B12),"-")</f>
        <v>3.2</v>
      </c>
      <c r="F12" s="112" t="n">
        <f aca="false">IFERROR((D12-C12)/ABS(C12),"-")</f>
        <v>2</v>
      </c>
    </row>
    <row r="14" customFormat="false" ht="18" hidden="false" customHeight="true" outlineLevel="0" collapsed="false">
      <c r="A14" s="18" t="s">
        <v>347</v>
      </c>
      <c r="B14" s="36"/>
      <c r="C14" s="36"/>
      <c r="D14" s="36"/>
      <c r="E14" s="36"/>
      <c r="F14" s="36"/>
    </row>
    <row r="15" customFormat="false" ht="16.5" hidden="false" customHeight="true" outlineLevel="0" collapsed="false">
      <c r="A15" s="18" t="s">
        <v>348</v>
      </c>
      <c r="B15" s="113" t="n">
        <f aca="false">'Realistic Y1 Monthly'!O14</f>
        <v>76957</v>
      </c>
      <c r="C15" s="113" t="n">
        <f aca="false">ROUND(C8*'Realistic Assumptions'!$B$5+C9*'Realistic Assumptions'!$B$6+C10*'Realistic Assumptions'!$B$7,0)</f>
        <v>317456</v>
      </c>
      <c r="D15" s="113" t="n">
        <f aca="false">ROUND(D8*'Realistic Assumptions'!$B$5+D10*'Realistic Assumptions'!$B$7,0)</f>
        <v>967625</v>
      </c>
      <c r="E15" s="114" t="n">
        <f aca="false">IFERROR((C15-B15)/ABS(B15),"-")</f>
        <v>3.12510882700729</v>
      </c>
      <c r="F15" s="114" t="n">
        <f aca="false">IFERROR((D15-C15)/ABS(C15),"-")</f>
        <v>2.04806020361877</v>
      </c>
    </row>
    <row r="16" customFormat="false" ht="16.5" hidden="false" customHeight="true" outlineLevel="0" collapsed="false">
      <c r="A16" s="23" t="s">
        <v>349</v>
      </c>
      <c r="B16" s="115" t="n">
        <f aca="false">'Realistic Y1 Monthly'!O15</f>
        <v>29213</v>
      </c>
      <c r="C16" s="115" t="n">
        <f aca="false">(C7-C11)*ROUND('Realistic Assumptions'!$B$30/(1-'Realistic Assumptions'!$B$9),0)</f>
        <v>109493</v>
      </c>
      <c r="D16" s="115" t="n">
        <f aca="false">(D7-D11)*ROUND('Realistic Assumptions'!$B$30/(1-'Realistic Assumptions'!$B$9),0)</f>
        <v>317329</v>
      </c>
      <c r="E16" s="110" t="n">
        <f aca="false">IFERROR((C16-B16)/ABS(B16),"-")</f>
        <v>2.74809160305344</v>
      </c>
      <c r="F16" s="110" t="n">
        <f aca="false">IFERROR((D16-C16)/ABS(C16),"-")</f>
        <v>1.89816700610998</v>
      </c>
    </row>
    <row r="17" customFormat="false" ht="16.5" hidden="false" customHeight="true" outlineLevel="0" collapsed="false">
      <c r="A17" s="49" t="s">
        <v>350</v>
      </c>
      <c r="B17" s="116" t="n">
        <f aca="false">'Realistic Y1 Monthly'!O16</f>
        <v>4970</v>
      </c>
      <c r="C17" s="116" t="n">
        <f aca="false">C11*ROUND(('Realistic Assumptions'!$B$30+'Realistic Assumptions'!$B$31)/(1-'Realistic Assumptions'!$B$9)*(1+'Realistic Assumptions'!$B$13),0)</f>
        <v>23785</v>
      </c>
      <c r="D17" s="116" t="n">
        <f aca="false">D11*ROUND(('Realistic Assumptions'!$B$30+'Realistic Assumptions'!$B$31)/(1-'Realistic Assumptions'!$B$9)*(1+'Realistic Assumptions'!$B$13),0)</f>
        <v>89105</v>
      </c>
      <c r="E17" s="112" t="n">
        <f aca="false">IFERROR((C17-B17)/ABS(B17),"-")</f>
        <v>3.78571428571429</v>
      </c>
      <c r="F17" s="112" t="n">
        <f aca="false">IFERROR((D17-C17)/ABS(C17),"-")</f>
        <v>2.74626865671642</v>
      </c>
    </row>
    <row r="18" customFormat="false" ht="16.5" hidden="false" customHeight="true" outlineLevel="0" collapsed="false">
      <c r="A18" s="18" t="s">
        <v>351</v>
      </c>
      <c r="B18" s="113" t="n">
        <f aca="false">'Realistic Y1 Monthly'!O17</f>
        <v>1900</v>
      </c>
      <c r="C18" s="113" t="n">
        <f aca="false">C12*ROUND('Realistic Assumptions'!$B$30/(1-'Realistic Assumptions'!$B$10),0)</f>
        <v>7980</v>
      </c>
      <c r="D18" s="113" t="n">
        <f aca="false">D12*ROUND('Realistic Assumptions'!$B$30/(1-'Realistic Assumptions'!$B$10),0)</f>
        <v>23940</v>
      </c>
      <c r="E18" s="114" t="n">
        <f aca="false">IFERROR((C18-B18)/ABS(B18),"-")</f>
        <v>3.2</v>
      </c>
      <c r="F18" s="114" t="n">
        <f aca="false">IFERROR((D18-C18)/ABS(C18),"-")</f>
        <v>2</v>
      </c>
    </row>
    <row r="19" customFormat="false" ht="16.5" hidden="false" customHeight="true" outlineLevel="0" collapsed="false">
      <c r="A19" s="23" t="s">
        <v>352</v>
      </c>
      <c r="B19" s="115" t="n">
        <f aca="false">'Realistic Y1 Monthly'!O18</f>
        <v>79</v>
      </c>
      <c r="C19" s="115" t="n">
        <f aca="false">ROUND(C6*'Realistic Assumptions'!$B$58*'Realistic Assumptions'!$B$14,0)</f>
        <v>300</v>
      </c>
      <c r="D19" s="115" t="n">
        <f aca="false">ROUND(D6*'Realistic Assumptions'!$B$58*'Realistic Assumptions'!$B$14,0)</f>
        <v>900</v>
      </c>
      <c r="E19" s="110" t="n">
        <f aca="false">IFERROR((C19-B19)/ABS(B19),"-")</f>
        <v>2.79746835443038</v>
      </c>
      <c r="F19" s="110" t="n">
        <f aca="false">IFERROR((D19-C19)/ABS(C19),"-")</f>
        <v>2</v>
      </c>
    </row>
    <row r="20" customFormat="false" ht="18.75" hidden="false" customHeight="true" outlineLevel="0" collapsed="false">
      <c r="A20" s="18" t="s">
        <v>19</v>
      </c>
      <c r="B20" s="117" t="n">
        <f aca="false">SUM(B15:B19)</f>
        <v>113119</v>
      </c>
      <c r="C20" s="117" t="n">
        <f aca="false">SUM(C15:C19)</f>
        <v>459014</v>
      </c>
      <c r="D20" s="117" t="n">
        <f aca="false">SUM(D15:D19)</f>
        <v>1398899</v>
      </c>
      <c r="E20" s="118" t="n">
        <f aca="false">IFERROR((C20-B20)/ABS(B20),"-")</f>
        <v>3.05779754064304</v>
      </c>
      <c r="F20" s="118" t="n">
        <f aca="false">IFERROR((D20-C20)/ABS(C20),"-")</f>
        <v>2.04761728400441</v>
      </c>
    </row>
    <row r="22" customFormat="false" ht="18" hidden="false" customHeight="true" outlineLevel="0" collapsed="false">
      <c r="A22" s="18" t="s">
        <v>353</v>
      </c>
      <c r="B22" s="36"/>
      <c r="C22" s="36"/>
      <c r="D22" s="36"/>
      <c r="E22" s="36"/>
      <c r="F22" s="36"/>
    </row>
    <row r="23" customFormat="false" ht="16.5" hidden="false" customHeight="true" outlineLevel="0" collapsed="false">
      <c r="A23" s="23" t="s">
        <v>354</v>
      </c>
      <c r="B23" s="115" t="n">
        <f aca="false">'Realistic Y1 Monthly'!O22</f>
        <v>25939</v>
      </c>
      <c r="C23" s="115" t="n">
        <f aca="false">C6*'Realistic Assumptions'!$B$30+C11*'Realistic Assumptions'!$B$31</f>
        <v>100742</v>
      </c>
      <c r="D23" s="115" t="n">
        <f aca="false">D6*'Realistic Assumptions'!$B$30+D11*'Realistic Assumptions'!$B$31</f>
        <v>303526</v>
      </c>
      <c r="E23" s="110" t="n">
        <f aca="false">IFERROR((C23-B23)/ABS(B23),"-")</f>
        <v>2.88380431011219</v>
      </c>
      <c r="F23" s="110" t="n">
        <f aca="false">IFERROR((D23-C23)/ABS(C23),"-")</f>
        <v>2.01290425046158</v>
      </c>
    </row>
    <row r="24" customFormat="false" ht="16.5" hidden="false" customHeight="true" outlineLevel="0" collapsed="false">
      <c r="A24" s="18" t="s">
        <v>306</v>
      </c>
      <c r="B24" s="113" t="n">
        <f aca="false">'Realistic Y1 Monthly'!O23</f>
        <v>43065</v>
      </c>
      <c r="C24" s="113" t="n">
        <v>0</v>
      </c>
      <c r="D24" s="113" t="n">
        <v>0</v>
      </c>
      <c r="E24" s="114" t="n">
        <f aca="false">IFERROR((C24-B24)/ABS(B24),"-")</f>
        <v>-1</v>
      </c>
      <c r="F24" s="114" t="str">
        <f aca="false">IFERROR((D24-C24)/ABS(C24),"-")</f>
        <v>-</v>
      </c>
    </row>
    <row r="25" customFormat="false" ht="16.5" hidden="false" customHeight="true" outlineLevel="0" collapsed="false">
      <c r="A25" s="23" t="s">
        <v>308</v>
      </c>
      <c r="B25" s="115" t="n">
        <f aca="false">'Realistic Y1 Monthly'!O24</f>
        <v>290</v>
      </c>
      <c r="C25" s="115" t="n">
        <f aca="false">C7*'Realistic Assumptions'!$B$27</f>
        <v>1116</v>
      </c>
      <c r="D25" s="115" t="n">
        <f aca="false">D7*'Realistic Assumptions'!$B$27</f>
        <v>3348</v>
      </c>
      <c r="E25" s="110" t="n">
        <f aca="false">IFERROR((C25-B25)/ABS(B25),"-")</f>
        <v>2.84827586206897</v>
      </c>
      <c r="F25" s="110" t="n">
        <f aca="false">IFERROR((D25-C25)/ABS(C25),"-")</f>
        <v>2</v>
      </c>
    </row>
    <row r="26" customFormat="false" ht="16.5" hidden="false" customHeight="true" outlineLevel="0" collapsed="false">
      <c r="A26" s="49" t="s">
        <v>355</v>
      </c>
      <c r="B26" s="116" t="n">
        <f aca="false">'Realistic Y1 Monthly'!O25</f>
        <v>145</v>
      </c>
      <c r="C26" s="116" t="n">
        <f aca="false">C7*'Realistic Assumptions'!$B$28</f>
        <v>558</v>
      </c>
      <c r="D26" s="116" t="n">
        <f aca="false">D7*'Realistic Assumptions'!$B$28</f>
        <v>1674</v>
      </c>
      <c r="E26" s="112" t="n">
        <f aca="false">IFERROR((C26-B26)/ABS(B26),"-")</f>
        <v>2.84827586206897</v>
      </c>
      <c r="F26" s="112" t="n">
        <f aca="false">IFERROR((D26-C26)/ABS(C26),"-")</f>
        <v>2</v>
      </c>
    </row>
    <row r="27" customFormat="false" ht="16.5" hidden="false" customHeight="true" outlineLevel="0" collapsed="false">
      <c r="A27" s="23" t="s">
        <v>310</v>
      </c>
      <c r="B27" s="115" t="n">
        <f aca="false">'Realistic Y1 Monthly'!O26</f>
        <v>0</v>
      </c>
      <c r="C27" s="115" t="n">
        <f aca="false">C7*'Realistic Assumptions'!$B$29</f>
        <v>0</v>
      </c>
      <c r="D27" s="115" t="n">
        <f aca="false">D7*'Realistic Assumptions'!$B$29</f>
        <v>0</v>
      </c>
      <c r="E27" s="110" t="str">
        <f aca="false">IFERROR((C27-B27)/ABS(B27),"-")</f>
        <v>-</v>
      </c>
      <c r="F27" s="110" t="str">
        <f aca="false">IFERROR((D27-C27)/ABS(C27),"-")</f>
        <v>-</v>
      </c>
    </row>
    <row r="28" customFormat="false" ht="16.5" hidden="false" customHeight="true" outlineLevel="0" collapsed="false">
      <c r="A28" s="49" t="s">
        <v>356</v>
      </c>
      <c r="B28" s="116" t="n">
        <f aca="false">'Realistic Y1 Monthly'!O27</f>
        <v>1789.785</v>
      </c>
      <c r="C28" s="116" t="n">
        <f aca="false">C20*'Realistic Assumptions'!$B$32+C6*2*'Realistic Assumptions'!$B$33</f>
        <v>7245.21</v>
      </c>
      <c r="D28" s="116" t="n">
        <f aca="false">D20*'Realistic Assumptions'!$B$32+D6*2*'Realistic Assumptions'!$B$33</f>
        <v>22063.485</v>
      </c>
      <c r="E28" s="112" t="n">
        <f aca="false">IFERROR((C28-B28)/ABS(B28),"-")</f>
        <v>3.04808957500482</v>
      </c>
      <c r="F28" s="112" t="n">
        <f aca="false">IFERROR((D28-C28)/ABS(C28),"-")</f>
        <v>2.04525127636052</v>
      </c>
    </row>
    <row r="29" customFormat="false" ht="18.75" hidden="false" customHeight="true" outlineLevel="0" collapsed="false">
      <c r="A29" s="18" t="s">
        <v>357</v>
      </c>
      <c r="B29" s="117" t="n">
        <f aca="false">SUM(B23:B28)</f>
        <v>71228.785</v>
      </c>
      <c r="C29" s="117" t="n">
        <f aca="false">SUM(C23:C28)</f>
        <v>109661.21</v>
      </c>
      <c r="D29" s="117" t="n">
        <f aca="false">SUM(D23:D28)</f>
        <v>330611.485</v>
      </c>
      <c r="E29" s="118" t="n">
        <f aca="false">IFERROR((C29-B29)/ABS(B29),"-")</f>
        <v>0.539563113423878</v>
      </c>
      <c r="F29" s="118" t="n">
        <f aca="false">IFERROR((D29-C29)/ABS(C29),"-")</f>
        <v>2.01484440122446</v>
      </c>
    </row>
    <row r="30" customFormat="false" ht="18.75" hidden="false" customHeight="true" outlineLevel="0" collapsed="false">
      <c r="A30" s="20" t="s">
        <v>11</v>
      </c>
      <c r="B30" s="87" t="n">
        <f aca="false">B20-B29</f>
        <v>41890.215</v>
      </c>
      <c r="C30" s="87" t="n">
        <f aca="false">C20-C29</f>
        <v>349352.79</v>
      </c>
      <c r="D30" s="87" t="n">
        <f aca="false">D20-D29</f>
        <v>1068287.515</v>
      </c>
      <c r="E30" s="88" t="n">
        <f aca="false">IFERROR((C30-B30)/ABS(B30),"-")</f>
        <v>7.33972301168662</v>
      </c>
      <c r="F30" s="88" t="n">
        <f aca="false">IFERROR((D30-C30)/ABS(C30),"-")</f>
        <v>2.05790463273529</v>
      </c>
    </row>
    <row r="31" customFormat="false" ht="18.75" hidden="false" customHeight="true" outlineLevel="0" collapsed="false">
      <c r="A31" s="20" t="s">
        <v>358</v>
      </c>
      <c r="B31" s="88" t="n">
        <f aca="false">IFERROR(B30/B20,0)</f>
        <v>0.370319884369558</v>
      </c>
      <c r="C31" s="88" t="n">
        <f aca="false">IFERROR(C30/C20,0)</f>
        <v>0.761093975347157</v>
      </c>
      <c r="D31" s="88" t="n">
        <f aca="false">IFERROR(D30/D20,0)</f>
        <v>0.763663077177123</v>
      </c>
      <c r="E31" s="88" t="n">
        <f aca="false">IFERROR((C31-B31)/ABS(B31),"-")</f>
        <v>1.05523388689447</v>
      </c>
      <c r="F31" s="88" t="n">
        <f aca="false">IFERROR((D31-C31)/ABS(C31),"-")</f>
        <v>0.00337553825569831</v>
      </c>
    </row>
    <row r="33" customFormat="false" ht="18" hidden="false" customHeight="true" outlineLevel="0" collapsed="false">
      <c r="A33" s="18" t="s">
        <v>359</v>
      </c>
      <c r="B33" s="36"/>
      <c r="C33" s="36"/>
      <c r="D33" s="36"/>
      <c r="E33" s="36"/>
      <c r="F33" s="36"/>
    </row>
    <row r="34" customFormat="false" ht="16.5" hidden="false" customHeight="true" outlineLevel="0" collapsed="false">
      <c r="A34" s="23" t="s">
        <v>360</v>
      </c>
      <c r="B34" s="115" t="n">
        <f aca="false">'Realistic Assumptions'!$B$61</f>
        <v>1800</v>
      </c>
      <c r="C34" s="115" t="n">
        <f aca="false">'Realistic Assumptions'!$B$62</f>
        <v>3600</v>
      </c>
      <c r="D34" s="115" t="n">
        <f aca="false">'Realistic Assumptions'!$B$63</f>
        <v>6000</v>
      </c>
      <c r="E34" s="82"/>
      <c r="F34" s="82"/>
    </row>
    <row r="35" customFormat="false" ht="16.5" hidden="false" customHeight="true" outlineLevel="0" collapsed="false">
      <c r="A35" s="49" t="s">
        <v>361</v>
      </c>
      <c r="B35" s="116" t="n">
        <v>1160</v>
      </c>
      <c r="C35" s="116" t="n">
        <v>1410</v>
      </c>
      <c r="D35" s="116" t="n">
        <v>1810</v>
      </c>
      <c r="E35" s="86"/>
      <c r="F35" s="86"/>
    </row>
    <row r="36" customFormat="false" ht="16.5" hidden="false" customHeight="true" outlineLevel="0" collapsed="false">
      <c r="A36" s="23" t="s">
        <v>362</v>
      </c>
      <c r="B36" s="115" t="n">
        <f aca="false">'Realistic Assumptions'!$B$66</f>
        <v>3300</v>
      </c>
      <c r="C36" s="115" t="n">
        <v>1700</v>
      </c>
      <c r="D36" s="115" t="n">
        <v>2500</v>
      </c>
      <c r="E36" s="82"/>
      <c r="F36" s="82"/>
    </row>
    <row r="37" customFormat="false" ht="16.5" hidden="false" customHeight="true" outlineLevel="0" collapsed="false">
      <c r="A37" s="75" t="s">
        <v>363</v>
      </c>
      <c r="B37" s="86" t="n">
        <f aca="false">'Realistic Assumptions'!$B$67</f>
        <v>500</v>
      </c>
      <c r="C37" s="86" t="n">
        <f aca="false">'Realistic Assumptions'!$B$67</f>
        <v>500</v>
      </c>
      <c r="D37" s="86" t="n">
        <f aca="false">'Realistic Assumptions'!$B$67+200</f>
        <v>700</v>
      </c>
      <c r="E37" s="86"/>
      <c r="F37" s="86"/>
    </row>
    <row r="38" customFormat="false" ht="18.75" hidden="false" customHeight="true" outlineLevel="0" collapsed="false">
      <c r="A38" s="12" t="s">
        <v>364</v>
      </c>
      <c r="B38" s="93" t="n">
        <f aca="false">'Realistic Assumptions'!$B$68</f>
        <v>13500</v>
      </c>
      <c r="C38" s="93" t="n">
        <f aca="false">'Realistic Assumptions'!$B$69</f>
        <v>55000</v>
      </c>
      <c r="D38" s="93" t="n">
        <f aca="false">'Realistic Assumptions'!$B$70</f>
        <v>168000</v>
      </c>
      <c r="E38" s="82"/>
      <c r="F38" s="82"/>
    </row>
    <row r="39" customFormat="false" ht="15" hidden="false" customHeight="true" outlineLevel="0" collapsed="false">
      <c r="A39" s="49" t="s">
        <v>368</v>
      </c>
      <c r="B39" s="116" t="n">
        <v>0</v>
      </c>
      <c r="C39" s="116" t="n">
        <v>88750</v>
      </c>
      <c r="D39" s="116" t="n">
        <v>263750</v>
      </c>
      <c r="E39" s="86"/>
      <c r="F39" s="86"/>
    </row>
    <row r="40" customFormat="false" ht="21.75" hidden="false" customHeight="true" outlineLevel="0" collapsed="false">
      <c r="A40" s="18" t="s">
        <v>369</v>
      </c>
      <c r="B40" s="117" t="n">
        <f aca="false">SUM(B34:B39)+'Realistic Assumptions'!$B$71</f>
        <v>22000</v>
      </c>
      <c r="C40" s="117" t="n">
        <f aca="false">SUM(C34:C39)+'Realistic Assumptions'!$B$71</f>
        <v>152700</v>
      </c>
      <c r="D40" s="117" t="n">
        <f aca="false">SUM(D34:D39)+'Realistic Assumptions'!$B$71+260</f>
        <v>444760</v>
      </c>
      <c r="E40" s="36"/>
      <c r="F40" s="36"/>
    </row>
    <row r="41" customFormat="false" ht="16.5" hidden="false" customHeight="true" outlineLevel="0" collapsed="false">
      <c r="A41" s="35" t="s">
        <v>406</v>
      </c>
    </row>
    <row r="42" customFormat="false" ht="15" hidden="false" customHeight="true" outlineLevel="0" collapsed="false">
      <c r="A42" s="20" t="s">
        <v>13</v>
      </c>
      <c r="B42" s="87" t="n">
        <f aca="false">B30-B40</f>
        <v>19890.215</v>
      </c>
      <c r="C42" s="87" t="n">
        <f aca="false">C30-C40</f>
        <v>196652.79</v>
      </c>
      <c r="D42" s="87" t="n">
        <f aca="false">D30-D40</f>
        <v>623527.515</v>
      </c>
      <c r="E42" s="88" t="n">
        <f aca="false">IFERROR((C42-B42)/ABS(B42),"-")</f>
        <v>8.88691122745531</v>
      </c>
      <c r="F42" s="88" t="n">
        <f aca="false">IFERROR((D42-C42)/ABS(C42),"-")</f>
        <v>2.17070261245722</v>
      </c>
    </row>
    <row r="43" customFormat="false" ht="18" hidden="false" customHeight="true" outlineLevel="0" collapsed="false">
      <c r="A43" s="20" t="s">
        <v>370</v>
      </c>
      <c r="B43" s="88" t="n">
        <f aca="false">IFERROR(B42/B20,0)</f>
        <v>0.175834430997445</v>
      </c>
      <c r="C43" s="88" t="n">
        <f aca="false">IFERROR(C42/C20,0)</f>
        <v>0.42842438357</v>
      </c>
      <c r="D43" s="88" t="n">
        <f aca="false">IFERROR(D42/D20,0)</f>
        <v>0.44572732913527</v>
      </c>
      <c r="E43" s="10"/>
      <c r="F43" s="10"/>
    </row>
    <row r="44" customFormat="false" ht="16.5" hidden="false" customHeight="true" outlineLevel="0" collapsed="false"/>
    <row r="45" customFormat="false" ht="16.5" hidden="false" customHeight="true" outlineLevel="0" collapsed="false">
      <c r="A45" s="18" t="s">
        <v>407</v>
      </c>
      <c r="B45" s="36"/>
      <c r="C45" s="36"/>
      <c r="D45" s="36"/>
      <c r="E45" s="36"/>
      <c r="F45" s="36"/>
    </row>
    <row r="46" customFormat="false" ht="16.5" hidden="false" customHeight="true" outlineLevel="0" collapsed="false">
      <c r="A46" s="18" t="s">
        <v>408</v>
      </c>
      <c r="B46" s="113" t="n">
        <f aca="false">IFERROR(B20/B7,0)</f>
        <v>780.131034482759</v>
      </c>
      <c r="C46" s="113" t="n">
        <f aca="false">IFERROR(C20/C7,0)</f>
        <v>822.605734767025</v>
      </c>
      <c r="D46" s="113" t="n">
        <f aca="false">IFERROR(D20/D7,0)</f>
        <v>835.662485065711</v>
      </c>
      <c r="E46" s="114" t="n">
        <f aca="false">IFERROR((C46-B46)/ABS(B46),"-")</f>
        <v>0.054445597478926</v>
      </c>
      <c r="F46" s="114" t="n">
        <f aca="false">IFERROR((D46-C46)/ABS(C46),"-")</f>
        <v>0.0158724280014698</v>
      </c>
    </row>
    <row r="47" customFormat="false" ht="16.5" hidden="false" customHeight="true" outlineLevel="0" collapsed="false">
      <c r="A47" s="18" t="s">
        <v>409</v>
      </c>
      <c r="B47" s="113" t="n">
        <f aca="false">IFERROR((B20-B29)/B7,0)</f>
        <v>288.898034482759</v>
      </c>
      <c r="C47" s="113" t="n">
        <f aca="false">IFERROR((C20-C29)/C7,0)</f>
        <v>626.080268817204</v>
      </c>
      <c r="D47" s="113" t="n">
        <f aca="false">IFERROR((D20-D29)/D7,0)</f>
        <v>638.164584826762</v>
      </c>
      <c r="E47" s="114" t="n">
        <f aca="false">IFERROR((C47-B47)/ABS(B47),"-")</f>
        <v>1.16713232382538</v>
      </c>
      <c r="F47" s="114" t="n">
        <f aca="false">IFERROR((D47-C47)/ABS(C47),"-")</f>
        <v>0.0193015442450979</v>
      </c>
    </row>
    <row r="48" customFormat="false" ht="15" hidden="false" customHeight="true" outlineLevel="0" collapsed="false">
      <c r="A48" s="23" t="s">
        <v>410</v>
      </c>
      <c r="B48" s="110" t="n">
        <f aca="false">'Realistic Assumptions'!$B$52</f>
        <v>0.15</v>
      </c>
      <c r="C48" s="110" t="n">
        <f aca="false">'Realistic Assumptions'!$B$53</f>
        <v>0.25</v>
      </c>
      <c r="D48" s="110" t="n">
        <f aca="false">'Realistic Assumptions'!$B$54</f>
        <v>0.35</v>
      </c>
      <c r="E48" s="82"/>
      <c r="F48" s="82"/>
    </row>
    <row r="49" customFormat="false" ht="15" hidden="false" customHeight="true" outlineLevel="0" collapsed="false">
      <c r="A49" s="49" t="s">
        <v>411</v>
      </c>
      <c r="B49" s="112" t="n">
        <f aca="false">'Realistic Assumptions'!$B$49</f>
        <v>0.07</v>
      </c>
      <c r="C49" s="112" t="n">
        <f aca="false">'Realistic Assumptions'!$B$50</f>
        <v>0.07</v>
      </c>
      <c r="D49" s="112" t="n">
        <f aca="false">'Realistic Assumptions'!$B$51</f>
        <v>0.07</v>
      </c>
      <c r="E49" s="86"/>
      <c r="F49" s="86"/>
    </row>
    <row r="50" customFormat="false" ht="15" hidden="false" customHeight="true" outlineLevel="0" collapsed="false">
      <c r="A50" s="35" t="s">
        <v>412</v>
      </c>
    </row>
    <row r="51" customFormat="false" ht="15" hidden="false" customHeight="true" outlineLevel="0" collapsed="false">
      <c r="A51" s="35" t="s">
        <v>413</v>
      </c>
    </row>
    <row r="52" customFormat="false" ht="15" hidden="false" customHeight="true" outlineLevel="0" collapsed="false">
      <c r="A52" s="35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D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45" t="s">
        <v>415</v>
      </c>
      <c r="B1" s="119"/>
      <c r="C1" s="119"/>
      <c r="D1" s="119"/>
    </row>
    <row r="2" customFormat="false" ht="13.5" hidden="false" customHeight="true" outlineLevel="0" collapsed="false">
      <c r="A2" s="7" t="s">
        <v>416</v>
      </c>
    </row>
    <row r="4" customFormat="false" ht="18" hidden="false" customHeight="true" outlineLevel="0" collapsed="false">
      <c r="A4" s="18" t="s">
        <v>162</v>
      </c>
      <c r="B4" s="36"/>
      <c r="C4" s="36"/>
      <c r="D4" s="36"/>
    </row>
    <row r="5" customFormat="false" ht="16.5" hidden="false" customHeight="true" outlineLevel="0" collapsed="false">
      <c r="A5" s="23" t="s">
        <v>163</v>
      </c>
      <c r="B5" s="47" t="n">
        <v>599</v>
      </c>
      <c r="D5" s="48" t="s">
        <v>164</v>
      </c>
    </row>
    <row r="6" customFormat="false" ht="16.5" hidden="false" customHeight="true" outlineLevel="0" collapsed="false">
      <c r="A6" s="49" t="s">
        <v>165</v>
      </c>
      <c r="B6" s="50" t="n">
        <v>299</v>
      </c>
      <c r="C6" s="51"/>
      <c r="D6" s="52" t="s">
        <v>166</v>
      </c>
    </row>
    <row r="7" customFormat="false" ht="16.5" hidden="false" customHeight="true" outlineLevel="0" collapsed="false">
      <c r="A7" s="23" t="s">
        <v>167</v>
      </c>
      <c r="B7" s="47" t="n">
        <f aca="false">'Optimistic Assumptions'!$B$5*(1-'Optimistic Assumptions'!$B$8)</f>
        <v>539.1</v>
      </c>
      <c r="D7" s="48" t="s">
        <v>168</v>
      </c>
    </row>
    <row r="8" customFormat="false" ht="16.5" hidden="false" customHeight="true" outlineLevel="0" collapsed="false">
      <c r="A8" s="49" t="s">
        <v>169</v>
      </c>
      <c r="B8" s="53" t="n">
        <v>0.1</v>
      </c>
      <c r="C8" s="51"/>
      <c r="D8" s="52" t="s">
        <v>170</v>
      </c>
    </row>
    <row r="9" customFormat="false" ht="16.5" hidden="false" customHeight="true" outlineLevel="0" collapsed="false">
      <c r="A9" s="23" t="s">
        <v>171</v>
      </c>
      <c r="B9" s="54" t="n">
        <v>0.26</v>
      </c>
      <c r="D9" s="48" t="s">
        <v>417</v>
      </c>
    </row>
    <row r="10" customFormat="false" ht="16.5" hidden="false" customHeight="true" outlineLevel="0" collapsed="false">
      <c r="A10" s="49" t="s">
        <v>173</v>
      </c>
      <c r="B10" s="53" t="n">
        <v>0.13</v>
      </c>
      <c r="C10" s="51"/>
      <c r="D10" s="52" t="s">
        <v>418</v>
      </c>
    </row>
    <row r="11" customFormat="false" ht="16.5" hidden="false" customHeight="true" outlineLevel="0" collapsed="false">
      <c r="A11" s="18" t="s">
        <v>175</v>
      </c>
      <c r="B11" s="55" t="n">
        <v>0.2</v>
      </c>
      <c r="C11" s="36"/>
      <c r="D11" s="56" t="s">
        <v>176</v>
      </c>
    </row>
    <row r="12" customFormat="false" ht="16.5" hidden="false" customHeight="true" outlineLevel="0" collapsed="false">
      <c r="A12" s="18" t="s">
        <v>177</v>
      </c>
      <c r="B12" s="55" t="n">
        <v>0.05</v>
      </c>
      <c r="C12" s="36"/>
      <c r="D12" s="56" t="s">
        <v>178</v>
      </c>
    </row>
    <row r="13" customFormat="false" ht="16.5" hidden="false" customHeight="true" outlineLevel="0" collapsed="false">
      <c r="A13" s="23" t="s">
        <v>179</v>
      </c>
      <c r="B13" s="54" t="n">
        <v>0.375</v>
      </c>
      <c r="D13" s="48" t="s">
        <v>180</v>
      </c>
    </row>
    <row r="14" customFormat="false" ht="16.5" hidden="false" customHeight="true" outlineLevel="0" collapsed="false">
      <c r="A14" s="49" t="s">
        <v>181</v>
      </c>
      <c r="B14" s="50" t="n">
        <v>5</v>
      </c>
      <c r="C14" s="51"/>
      <c r="D14" s="52" t="s">
        <v>182</v>
      </c>
    </row>
    <row r="16" customFormat="false" ht="18" hidden="false" customHeight="true" outlineLevel="0" collapsed="false">
      <c r="A16" s="18" t="s">
        <v>183</v>
      </c>
      <c r="B16" s="36"/>
      <c r="C16" s="36"/>
      <c r="D16" s="36"/>
    </row>
    <row r="17" customFormat="false" ht="13.5" hidden="false" customHeight="true" outlineLevel="0" collapsed="false">
      <c r="A17" s="12" t="s">
        <v>184</v>
      </c>
    </row>
    <row r="18" customFormat="false" ht="16.5" hidden="false" customHeight="true" outlineLevel="0" collapsed="false">
      <c r="A18" s="49" t="s">
        <v>185</v>
      </c>
      <c r="B18" s="50" t="n">
        <v>499</v>
      </c>
      <c r="C18" s="57"/>
      <c r="D18" s="52" t="s">
        <v>186</v>
      </c>
    </row>
    <row r="19" customFormat="false" ht="16.5" hidden="false" customHeight="true" outlineLevel="0" collapsed="false">
      <c r="A19" s="23" t="s">
        <v>187</v>
      </c>
      <c r="B19" s="54" t="n">
        <v>0.25</v>
      </c>
      <c r="D19" s="48" t="s">
        <v>188</v>
      </c>
    </row>
    <row r="20" customFormat="false" ht="16.5" hidden="false" customHeight="true" outlineLevel="0" collapsed="false">
      <c r="A20" s="49" t="s">
        <v>189</v>
      </c>
      <c r="B20" s="50" t="n">
        <v>599</v>
      </c>
      <c r="C20" s="57"/>
      <c r="D20" s="52" t="s">
        <v>190</v>
      </c>
    </row>
    <row r="21" customFormat="false" ht="16.5" hidden="false" customHeight="true" outlineLevel="0" collapsed="false">
      <c r="A21" s="23" t="s">
        <v>191</v>
      </c>
      <c r="B21" s="54" t="n">
        <v>0.6</v>
      </c>
      <c r="D21" s="48" t="s">
        <v>192</v>
      </c>
    </row>
    <row r="22" customFormat="false" ht="16.5" hidden="false" customHeight="true" outlineLevel="0" collapsed="false">
      <c r="A22" s="49" t="s">
        <v>193</v>
      </c>
      <c r="B22" s="50" t="n">
        <v>749</v>
      </c>
      <c r="C22" s="57"/>
      <c r="D22" s="52" t="s">
        <v>194</v>
      </c>
    </row>
    <row r="23" customFormat="false" ht="16.5" hidden="false" customHeight="true" outlineLevel="0" collapsed="false">
      <c r="A23" s="23" t="s">
        <v>195</v>
      </c>
      <c r="B23" s="54" t="n">
        <v>0.15</v>
      </c>
      <c r="D23" s="48" t="s">
        <v>196</v>
      </c>
    </row>
    <row r="24" customFormat="false" ht="16.5" hidden="false" customHeight="true" outlineLevel="0" collapsed="false">
      <c r="A24" s="49" t="s">
        <v>197</v>
      </c>
      <c r="B24" s="50" t="n">
        <f aca="false">'Optimistic Assumptions'!$B$18*'Optimistic Assumptions'!$B$19+'Optimistic Assumptions'!$B$20*'Optimistic Assumptions'!$B$21+'Optimistic Assumptions'!$B$22*'Optimistic Assumptions'!$B$23</f>
        <v>596.5</v>
      </c>
      <c r="C24" s="51"/>
      <c r="D24" s="52" t="s">
        <v>198</v>
      </c>
    </row>
    <row r="26" customFormat="false" ht="18" hidden="false" customHeight="true" outlineLevel="0" collapsed="false">
      <c r="A26" s="18" t="s">
        <v>199</v>
      </c>
      <c r="B26" s="36"/>
      <c r="C26" s="36"/>
      <c r="D26" s="36"/>
    </row>
    <row r="27" customFormat="false" ht="15.75" hidden="false" customHeight="true" outlineLevel="0" collapsed="false">
      <c r="A27" s="23" t="s">
        <v>200</v>
      </c>
      <c r="B27" s="47" t="n">
        <v>2</v>
      </c>
      <c r="D27" s="48" t="s">
        <v>419</v>
      </c>
    </row>
    <row r="28" customFormat="false" ht="15.75" hidden="false" customHeight="true" outlineLevel="0" collapsed="false">
      <c r="A28" s="49" t="s">
        <v>202</v>
      </c>
      <c r="B28" s="50" t="n">
        <v>1</v>
      </c>
      <c r="C28" s="51"/>
      <c r="D28" s="52" t="s">
        <v>420</v>
      </c>
    </row>
    <row r="29" customFormat="false" ht="15.75" hidden="false" customHeight="true" outlineLevel="0" collapsed="false">
      <c r="A29" s="23" t="s">
        <v>204</v>
      </c>
      <c r="B29" s="47" t="n">
        <v>0</v>
      </c>
      <c r="D29" s="48" t="s">
        <v>421</v>
      </c>
    </row>
    <row r="30" customFormat="false" ht="15.75" hidden="false" customHeight="true" outlineLevel="0" collapsed="false">
      <c r="A30" s="49" t="s">
        <v>206</v>
      </c>
      <c r="B30" s="50" t="n">
        <v>165</v>
      </c>
      <c r="C30" s="51"/>
      <c r="D30" s="52" t="s">
        <v>422</v>
      </c>
    </row>
    <row r="31" customFormat="false" ht="15.75" hidden="false" customHeight="true" outlineLevel="0" collapsed="false">
      <c r="A31" s="23" t="s">
        <v>208</v>
      </c>
      <c r="B31" s="47" t="n">
        <v>26</v>
      </c>
      <c r="D31" s="48" t="s">
        <v>423</v>
      </c>
    </row>
    <row r="32" customFormat="false" ht="15.75" hidden="false" customHeight="true" outlineLevel="0" collapsed="false">
      <c r="A32" s="49" t="s">
        <v>210</v>
      </c>
      <c r="B32" s="53" t="n">
        <v>0.015</v>
      </c>
      <c r="C32" s="51"/>
      <c r="D32" s="52" t="s">
        <v>424</v>
      </c>
    </row>
    <row r="33" customFormat="false" ht="15.75" hidden="false" customHeight="true" outlineLevel="0" collapsed="false">
      <c r="A33" s="23" t="s">
        <v>212</v>
      </c>
      <c r="B33" s="47" t="n">
        <v>0.3</v>
      </c>
      <c r="D33" s="48" t="s">
        <v>213</v>
      </c>
    </row>
    <row r="34" customFormat="false" ht="18" hidden="false" customHeight="true" outlineLevel="0" collapsed="false">
      <c r="A34" s="18" t="s">
        <v>214</v>
      </c>
      <c r="B34" s="36"/>
      <c r="C34" s="36"/>
      <c r="D34" s="36"/>
    </row>
    <row r="35" customFormat="false" ht="13.5" hidden="false" customHeight="true" outlineLevel="0" collapsed="false">
      <c r="A35" s="12" t="s">
        <v>215</v>
      </c>
    </row>
    <row r="36" customFormat="false" ht="16.5" hidden="false" customHeight="true" outlineLevel="0" collapsed="false">
      <c r="A36" s="49" t="s">
        <v>216</v>
      </c>
      <c r="B36" s="50" t="n">
        <v>90</v>
      </c>
      <c r="C36" s="58"/>
      <c r="D36" s="52" t="s">
        <v>425</v>
      </c>
    </row>
    <row r="37" customFormat="false" ht="16.5" hidden="false" customHeight="true" outlineLevel="0" collapsed="false">
      <c r="A37" s="23" t="s">
        <v>218</v>
      </c>
      <c r="B37" s="59" t="n">
        <v>0</v>
      </c>
      <c r="C37" s="58"/>
      <c r="D37" s="48" t="s">
        <v>219</v>
      </c>
    </row>
    <row r="38" customFormat="false" ht="16.5" hidden="false" customHeight="true" outlineLevel="0" collapsed="false">
      <c r="A38" s="49" t="s">
        <v>220</v>
      </c>
      <c r="B38" s="60" t="n">
        <v>4</v>
      </c>
      <c r="C38" s="58"/>
      <c r="D38" s="52" t="s">
        <v>426</v>
      </c>
    </row>
    <row r="39" customFormat="false" ht="16.5" hidden="false" customHeight="true" outlineLevel="0" collapsed="false">
      <c r="A39" s="23" t="s">
        <v>222</v>
      </c>
      <c r="B39" s="59" t="n">
        <v>6</v>
      </c>
      <c r="C39" s="58"/>
      <c r="D39" s="48" t="s">
        <v>427</v>
      </c>
    </row>
    <row r="40" customFormat="false" ht="16.5" hidden="false" customHeight="true" outlineLevel="0" collapsed="false">
      <c r="A40" s="49" t="s">
        <v>224</v>
      </c>
      <c r="B40" s="50" t="n">
        <f aca="false">'Optimistic Assumptions'!$B$37*'Optimistic Assumptions'!$B$36</f>
        <v>0</v>
      </c>
      <c r="C40" s="51"/>
      <c r="D40" s="52" t="s">
        <v>225</v>
      </c>
    </row>
    <row r="41" customFormat="false" ht="16.5" hidden="false" customHeight="true" outlineLevel="0" collapsed="false">
      <c r="A41" s="23" t="s">
        <v>226</v>
      </c>
      <c r="B41" s="47" t="n">
        <f aca="false">'Optimistic Assumptions'!$B$38*'Optimistic Assumptions'!$B$36</f>
        <v>360</v>
      </c>
      <c r="D41" s="48" t="s">
        <v>227</v>
      </c>
    </row>
    <row r="42" customFormat="false" ht="16.5" hidden="false" customHeight="true" outlineLevel="0" collapsed="false">
      <c r="A42" s="49" t="s">
        <v>228</v>
      </c>
      <c r="B42" s="50" t="n">
        <f aca="false">'Optimistic Assumptions'!$B$39*'Optimistic Assumptions'!$B$36</f>
        <v>540</v>
      </c>
      <c r="C42" s="51"/>
      <c r="D42" s="52" t="s">
        <v>229</v>
      </c>
    </row>
    <row r="43" customFormat="false" ht="16.5" hidden="false" customHeight="true" outlineLevel="0" collapsed="false">
      <c r="A43" s="23" t="s">
        <v>230</v>
      </c>
      <c r="B43" s="47" t="n">
        <f aca="false">'Optimistic Assumptions'!$B$19*'Optimistic Assumptions'!$B$40+'Optimistic Assumptions'!$B$21*'Optimistic Assumptions'!$B$41+'Optimistic Assumptions'!$B$23*'Optimistic Assumptions'!$B$42</f>
        <v>297</v>
      </c>
      <c r="D43" s="48" t="s">
        <v>231</v>
      </c>
    </row>
    <row r="44" customFormat="false" ht="15" hidden="false" customHeight="true" outlineLevel="0" collapsed="false">
      <c r="D44" s="33" t="s">
        <v>232</v>
      </c>
    </row>
    <row r="45" customFormat="false" ht="18" hidden="false" customHeight="true" outlineLevel="0" collapsed="false">
      <c r="A45" s="18" t="s">
        <v>428</v>
      </c>
      <c r="B45" s="36"/>
      <c r="C45" s="36"/>
      <c r="D45" s="61" t="s">
        <v>234</v>
      </c>
    </row>
    <row r="46" customFormat="false" ht="16.5" hidden="false" customHeight="true" outlineLevel="0" collapsed="false">
      <c r="A46" s="18" t="s">
        <v>235</v>
      </c>
      <c r="B46" s="62" t="n">
        <v>280</v>
      </c>
      <c r="C46" s="36"/>
      <c r="D46" s="63" t="s">
        <v>236</v>
      </c>
    </row>
    <row r="47" customFormat="false" ht="16.5" hidden="false" customHeight="true" outlineLevel="0" collapsed="false">
      <c r="A47" s="18" t="s">
        <v>237</v>
      </c>
      <c r="B47" s="62" t="n">
        <v>1100</v>
      </c>
      <c r="C47" s="36"/>
      <c r="D47" s="63" t="s">
        <v>238</v>
      </c>
    </row>
    <row r="48" customFormat="false" ht="16.5" hidden="false" customHeight="true" outlineLevel="0" collapsed="false">
      <c r="A48" s="18" t="s">
        <v>239</v>
      </c>
      <c r="B48" s="62" t="n">
        <v>3600</v>
      </c>
      <c r="C48" s="36"/>
      <c r="D48" s="63" t="s">
        <v>240</v>
      </c>
    </row>
    <row r="49" customFormat="false" ht="16.5" hidden="false" customHeight="true" outlineLevel="0" collapsed="false">
      <c r="A49" s="23" t="s">
        <v>241</v>
      </c>
      <c r="B49" s="54" t="n">
        <v>0.07</v>
      </c>
      <c r="D49" s="64" t="s">
        <v>242</v>
      </c>
    </row>
    <row r="50" customFormat="false" ht="16.5" hidden="false" customHeight="true" outlineLevel="0" collapsed="false">
      <c r="A50" s="49" t="s">
        <v>243</v>
      </c>
      <c r="B50" s="53" t="n">
        <v>0.07</v>
      </c>
      <c r="C50" s="57"/>
      <c r="D50" s="65" t="s">
        <v>244</v>
      </c>
    </row>
    <row r="51" customFormat="false" ht="16.5" hidden="false" customHeight="true" outlineLevel="0" collapsed="false">
      <c r="A51" s="23" t="s">
        <v>245</v>
      </c>
      <c r="B51" s="54" t="n">
        <v>0.07</v>
      </c>
      <c r="D51" s="64" t="s">
        <v>246</v>
      </c>
    </row>
    <row r="52" customFormat="false" ht="16.5" hidden="false" customHeight="true" outlineLevel="0" collapsed="false">
      <c r="A52" s="49" t="s">
        <v>429</v>
      </c>
      <c r="B52" s="53" t="n">
        <v>0.25</v>
      </c>
      <c r="C52" s="58"/>
      <c r="D52" s="66"/>
    </row>
    <row r="53" customFormat="false" ht="16.5" hidden="false" customHeight="true" outlineLevel="0" collapsed="false">
      <c r="A53" s="23" t="s">
        <v>430</v>
      </c>
      <c r="B53" s="54" t="n">
        <v>0.45</v>
      </c>
      <c r="C53" s="58"/>
      <c r="D53" s="67" t="s">
        <v>249</v>
      </c>
    </row>
    <row r="54" customFormat="false" ht="16.5" hidden="false" customHeight="true" outlineLevel="0" collapsed="false">
      <c r="A54" s="49" t="s">
        <v>431</v>
      </c>
      <c r="B54" s="53" t="n">
        <v>0.6</v>
      </c>
      <c r="C54" s="58"/>
      <c r="D54" s="120" t="s">
        <v>251</v>
      </c>
    </row>
    <row r="55" customFormat="false" ht="16.5" hidden="false" customHeight="true" outlineLevel="0" collapsed="false">
      <c r="A55" s="23" t="s">
        <v>252</v>
      </c>
      <c r="B55" s="54" t="n">
        <v>0.1</v>
      </c>
      <c r="C55" s="58"/>
      <c r="D55" s="67" t="s">
        <v>253</v>
      </c>
    </row>
    <row r="56" customFormat="false" ht="16.5" hidden="false" customHeight="true" outlineLevel="0" collapsed="false">
      <c r="A56" s="49" t="s">
        <v>254</v>
      </c>
      <c r="B56" s="53" t="n">
        <v>0.15</v>
      </c>
      <c r="C56" s="58"/>
      <c r="D56" s="52" t="s">
        <v>432</v>
      </c>
    </row>
    <row r="57" customFormat="false" ht="16.5" hidden="false" customHeight="true" outlineLevel="0" collapsed="false">
      <c r="A57" s="23" t="s">
        <v>255</v>
      </c>
      <c r="B57" s="54" t="n">
        <v>0.18</v>
      </c>
      <c r="C57" s="58"/>
      <c r="D57" s="48" t="s">
        <v>433</v>
      </c>
    </row>
    <row r="58" customFormat="false" ht="16.5" hidden="false" customHeight="true" outlineLevel="0" collapsed="false">
      <c r="A58" s="49" t="s">
        <v>256</v>
      </c>
      <c r="B58" s="53" t="n">
        <v>0.1</v>
      </c>
      <c r="C58" s="57"/>
      <c r="D58" s="52" t="s">
        <v>434</v>
      </c>
    </row>
    <row r="60" customFormat="false" ht="18" hidden="false" customHeight="true" outlineLevel="0" collapsed="false">
      <c r="A60" s="18" t="s">
        <v>258</v>
      </c>
      <c r="B60" s="36"/>
      <c r="C60" s="36"/>
      <c r="D60" s="36"/>
    </row>
    <row r="61" customFormat="false" ht="15.75" hidden="false" customHeight="true" outlineLevel="0" collapsed="false">
      <c r="A61" s="23" t="s">
        <v>259</v>
      </c>
      <c r="B61" s="47" t="n">
        <v>1800</v>
      </c>
      <c r="D61" s="48" t="s">
        <v>435</v>
      </c>
    </row>
    <row r="62" customFormat="false" ht="15.75" hidden="false" customHeight="true" outlineLevel="0" collapsed="false">
      <c r="A62" s="49" t="s">
        <v>261</v>
      </c>
      <c r="B62" s="50" t="n">
        <v>4800</v>
      </c>
      <c r="C62" s="58"/>
      <c r="D62" s="52" t="s">
        <v>436</v>
      </c>
    </row>
    <row r="63" customFormat="false" ht="15.75" hidden="false" customHeight="true" outlineLevel="0" collapsed="false">
      <c r="A63" s="23" t="s">
        <v>262</v>
      </c>
      <c r="B63" s="47" t="n">
        <v>10000</v>
      </c>
      <c r="C63" s="58"/>
      <c r="D63" s="48" t="s">
        <v>437</v>
      </c>
    </row>
    <row r="64" customFormat="false" ht="15.75" hidden="false" customHeight="true" outlineLevel="0" collapsed="false">
      <c r="A64" s="49" t="s">
        <v>263</v>
      </c>
      <c r="B64" s="72" t="n">
        <v>960</v>
      </c>
      <c r="C64" s="51"/>
      <c r="D64" s="52" t="s">
        <v>435</v>
      </c>
    </row>
    <row r="65" customFormat="false" ht="15.75" hidden="false" customHeight="true" outlineLevel="0" collapsed="false">
      <c r="A65" s="23" t="s">
        <v>265</v>
      </c>
      <c r="B65" s="73" t="n">
        <v>350</v>
      </c>
      <c r="C65" s="58"/>
      <c r="D65" s="64" t="s">
        <v>438</v>
      </c>
    </row>
    <row r="66" customFormat="false" ht="15.75" hidden="false" customHeight="true" outlineLevel="0" collapsed="false">
      <c r="A66" s="49" t="s">
        <v>267</v>
      </c>
      <c r="B66" s="72" t="n">
        <v>3300</v>
      </c>
      <c r="C66" s="51"/>
      <c r="D66" s="52" t="s">
        <v>439</v>
      </c>
    </row>
    <row r="67" customFormat="false" ht="15.75" hidden="false" customHeight="true" outlineLevel="0" collapsed="false">
      <c r="A67" s="23" t="s">
        <v>440</v>
      </c>
      <c r="B67" s="47" t="n">
        <v>6000</v>
      </c>
      <c r="C67" s="58"/>
      <c r="D67" s="48" t="s">
        <v>441</v>
      </c>
    </row>
    <row r="68" customFormat="false" ht="15.75" hidden="false" customHeight="true" outlineLevel="0" collapsed="false">
      <c r="A68" s="49" t="s">
        <v>442</v>
      </c>
      <c r="B68" s="50" t="n">
        <v>32000</v>
      </c>
      <c r="C68" s="58"/>
      <c r="D68" s="52" t="s">
        <v>443</v>
      </c>
    </row>
    <row r="69" customFormat="false" ht="15" hidden="false" customHeight="true" outlineLevel="0" collapsed="false">
      <c r="A69" s="12" t="s">
        <v>444</v>
      </c>
      <c r="B69" s="74" t="n">
        <v>500</v>
      </c>
      <c r="D69" s="7" t="s">
        <v>445</v>
      </c>
    </row>
    <row r="70" customFormat="false" ht="15" hidden="false" customHeight="true" outlineLevel="0" collapsed="false">
      <c r="A70" s="75" t="s">
        <v>271</v>
      </c>
      <c r="B70" s="76" t="n">
        <v>24000</v>
      </c>
      <c r="D70" s="77" t="s">
        <v>446</v>
      </c>
    </row>
    <row r="71" customFormat="false" ht="15" hidden="false" customHeight="true" outlineLevel="0" collapsed="false">
      <c r="A71" s="12" t="s">
        <v>273</v>
      </c>
      <c r="B71" s="78" t="n">
        <v>100000</v>
      </c>
      <c r="D71" s="1" t="s">
        <v>447</v>
      </c>
    </row>
    <row r="72" customFormat="false" ht="15" hidden="false" customHeight="true" outlineLevel="0" collapsed="false">
      <c r="A72" s="75" t="s">
        <v>275</v>
      </c>
      <c r="B72" s="76" t="n">
        <v>331500</v>
      </c>
      <c r="D72" s="1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5"/>
    <col collapsed="false" customWidth="true" hidden="false" outlineLevel="0" max="6" min="5" style="1" width="12"/>
  </cols>
  <sheetData>
    <row r="1" customFormat="false" ht="31.5" hidden="false" customHeight="true" outlineLevel="0" collapsed="false">
      <c r="A1" s="45" t="s">
        <v>449</v>
      </c>
      <c r="B1" s="119"/>
      <c r="C1" s="119"/>
      <c r="D1" s="119"/>
      <c r="E1" s="119"/>
      <c r="F1" s="119"/>
    </row>
    <row r="3" customFormat="false" ht="27.75" hidden="false" customHeight="true" outlineLevel="0" collapsed="false">
      <c r="A3" s="108"/>
      <c r="B3" s="80" t="s">
        <v>335</v>
      </c>
      <c r="C3" s="80" t="s">
        <v>336</v>
      </c>
      <c r="D3" s="80" t="s">
        <v>337</v>
      </c>
      <c r="E3" s="80" t="s">
        <v>338</v>
      </c>
      <c r="F3" s="80" t="s">
        <v>339</v>
      </c>
    </row>
    <row r="5" customFormat="false" ht="18" hidden="false" customHeight="true" outlineLevel="0" collapsed="false">
      <c r="A5" s="18" t="s">
        <v>340</v>
      </c>
      <c r="B5" s="36"/>
      <c r="C5" s="36"/>
      <c r="D5" s="36"/>
      <c r="E5" s="36"/>
      <c r="F5" s="36"/>
    </row>
    <row r="6" customFormat="false" ht="16.5" hidden="false" customHeight="true" outlineLevel="0" collapsed="false">
      <c r="A6" s="20" t="s">
        <v>9</v>
      </c>
      <c r="B6" s="102" t="n">
        <f aca="false">'Optimistic Assumptions'!$B$46</f>
        <v>280</v>
      </c>
      <c r="C6" s="102" t="n">
        <f aca="false">'Optimistic Assumptions'!$B$47</f>
        <v>1100</v>
      </c>
      <c r="D6" s="102" t="n">
        <f aca="false">'Optimistic Assumptions'!$B$48</f>
        <v>3600</v>
      </c>
      <c r="E6" s="88" t="n">
        <f aca="false">IFERROR((B6-'Realistic P&amp;L'!B6)/ABS('Realistic P&amp;L'!B6),"-")</f>
        <v>0.806451612903226</v>
      </c>
      <c r="F6" s="88" t="n">
        <f aca="false">IFERROR((D6-'Realistic P&amp;L'!D6)/ABS('Realistic P&amp;L'!D6),"-")</f>
        <v>1</v>
      </c>
    </row>
    <row r="7" customFormat="false" ht="16.5" hidden="false" customHeight="true" outlineLevel="0" collapsed="false">
      <c r="A7" s="23" t="s">
        <v>341</v>
      </c>
      <c r="B7" s="109" t="n">
        <f aca="false">ROUND(B6*(1-'Optimistic Assumptions'!$B$49),0)</f>
        <v>260</v>
      </c>
      <c r="C7" s="109" t="n">
        <f aca="false">ROUND(C6*(1-'Optimistic Assumptions'!$B$50),0)</f>
        <v>1023</v>
      </c>
      <c r="D7" s="109" t="n">
        <f aca="false">ROUND(D6*(1-'Optimistic Assumptions'!$B$51),0)</f>
        <v>3348</v>
      </c>
      <c r="E7" s="110" t="n">
        <f aca="false">IFERROR((B7-'Realistic P&amp;L'!B7)/ABS('Realistic P&amp;L'!B7),"-")</f>
        <v>0.793103448275862</v>
      </c>
      <c r="F7" s="110" t="n">
        <f aca="false">IFERROR((D7-'Realistic P&amp;L'!D7)/ABS('Realistic P&amp;L'!D7),"-")</f>
        <v>1</v>
      </c>
    </row>
    <row r="8" customFormat="false" ht="16.5" hidden="false" customHeight="true" outlineLevel="0" collapsed="false">
      <c r="A8" s="49" t="s">
        <v>342</v>
      </c>
      <c r="B8" s="111" t="n">
        <f aca="false">B7-B9-B10</f>
        <v>143</v>
      </c>
      <c r="C8" s="111" t="n">
        <f aca="false">C7-C9-C10</f>
        <v>512</v>
      </c>
      <c r="D8" s="111" t="n">
        <f aca="false">D7-D9-D10</f>
        <v>1339</v>
      </c>
      <c r="E8" s="112" t="n">
        <f aca="false">IFERROR((B8-'Realistic P&amp;L'!B8)/ABS('Realistic P&amp;L'!B8),"-")</f>
        <v>0.489583333333333</v>
      </c>
      <c r="F8" s="112" t="n">
        <f aca="false">IFERROR((D8-'Realistic P&amp;L'!D8)/ABS('Realistic P&amp;L'!D8),"-")</f>
        <v>0.230698529411765</v>
      </c>
    </row>
    <row r="9" customFormat="false" ht="16.5" hidden="false" customHeight="true" outlineLevel="0" collapsed="false">
      <c r="A9" s="23" t="s">
        <v>343</v>
      </c>
      <c r="B9" s="109" t="n">
        <f aca="false">ROUND(B7*'Optimistic Assumptions'!$B$11,0)</f>
        <v>52</v>
      </c>
      <c r="C9" s="109" t="n">
        <f aca="false">ROUND(C7*'Optimistic Assumptions'!$B$12,0)</f>
        <v>51</v>
      </c>
      <c r="D9" s="109" t="n">
        <f aca="false">0</f>
        <v>0</v>
      </c>
      <c r="E9" s="110" t="n">
        <f aca="false">IFERROR((B9-'Realistic P&amp;L'!B9)/ABS('Realistic P&amp;L'!B9),"-")</f>
        <v>0.793103448275862</v>
      </c>
      <c r="F9" s="110" t="str">
        <f aca="false">IFERROR((D9-'Realistic P&amp;L'!D9)/ABS('Realistic P&amp;L'!D9),"-")</f>
        <v>-</v>
      </c>
    </row>
    <row r="10" customFormat="false" ht="16.5" hidden="false" customHeight="true" outlineLevel="0" collapsed="false">
      <c r="A10" s="49" t="s">
        <v>344</v>
      </c>
      <c r="B10" s="111" t="n">
        <f aca="false">ROUND(B7*'Optimistic Assumptions'!$B$52,0)</f>
        <v>65</v>
      </c>
      <c r="C10" s="111" t="n">
        <f aca="false">ROUND(C7*'Optimistic Assumptions'!$B$53,0)</f>
        <v>460</v>
      </c>
      <c r="D10" s="111" t="n">
        <f aca="false">ROUND(D7*'Optimistic Assumptions'!$B$54,0)</f>
        <v>2009</v>
      </c>
      <c r="E10" s="112" t="n">
        <f aca="false">IFERROR((B10-'Realistic P&amp;L'!B10)/ABS('Realistic P&amp;L'!B10),"-")</f>
        <v>2.25</v>
      </c>
      <c r="F10" s="112" t="n">
        <f aca="false">IFERROR((D10-'Realistic P&amp;L'!D10)/ABS('Realistic P&amp;L'!D10),"-")</f>
        <v>2.42832764505119</v>
      </c>
    </row>
    <row r="11" customFormat="false" ht="16.5" hidden="false" customHeight="true" outlineLevel="0" collapsed="false">
      <c r="A11" s="23" t="s">
        <v>345</v>
      </c>
      <c r="B11" s="109" t="n">
        <f aca="false">ROUND(B7*'Optimistic Assumptions'!$B$55,0)</f>
        <v>26</v>
      </c>
      <c r="C11" s="109" t="n">
        <f aca="false">ROUND(C7*'Optimistic Assumptions'!$B$56,0)</f>
        <v>153</v>
      </c>
      <c r="D11" s="109" t="n">
        <f aca="false">ROUND(D7*'Optimistic Assumptions'!$B$57,0)</f>
        <v>603</v>
      </c>
      <c r="E11" s="110" t="n">
        <f aca="false">IFERROR((B11-'Realistic P&amp;L'!B11)/ABS('Realistic P&amp;L'!B11),"-")</f>
        <v>0.857142857142857</v>
      </c>
      <c r="F11" s="110" t="n">
        <f aca="false">IFERROR((D11-'Realistic P&amp;L'!D11)/ABS('Realistic P&amp;L'!D11),"-")</f>
        <v>1.40239043824701</v>
      </c>
    </row>
    <row r="12" customFormat="false" ht="16.5" hidden="false" customHeight="true" outlineLevel="0" collapsed="false">
      <c r="A12" s="49" t="s">
        <v>346</v>
      </c>
      <c r="B12" s="111" t="n">
        <f aca="false">ROUND(B6*'Optimistic Assumptions'!$B$49,0)</f>
        <v>20</v>
      </c>
      <c r="C12" s="111" t="n">
        <f aca="false">ROUND(C6*'Optimistic Assumptions'!$B$50,0)</f>
        <v>77</v>
      </c>
      <c r="D12" s="111" t="n">
        <f aca="false">ROUND(D6*'Optimistic Assumptions'!$B$51,0)</f>
        <v>252</v>
      </c>
      <c r="E12" s="112" t="n">
        <f aca="false">IFERROR((B12-'Realistic P&amp;L'!B12)/ABS('Realistic P&amp;L'!B12),"-")</f>
        <v>1</v>
      </c>
      <c r="F12" s="112" t="n">
        <f aca="false">IFERROR((D12-'Realistic P&amp;L'!D12)/ABS('Realistic P&amp;L'!D12),"-")</f>
        <v>1</v>
      </c>
    </row>
    <row r="14" customFormat="false" ht="18" hidden="false" customHeight="true" outlineLevel="0" collapsed="false">
      <c r="A14" s="18" t="s">
        <v>347</v>
      </c>
      <c r="B14" s="36"/>
      <c r="C14" s="36"/>
      <c r="D14" s="36"/>
      <c r="E14" s="36"/>
      <c r="F14" s="36"/>
    </row>
    <row r="15" customFormat="false" ht="16.5" hidden="false" customHeight="true" outlineLevel="0" collapsed="false">
      <c r="A15" s="18" t="s">
        <v>348</v>
      </c>
      <c r="B15" s="113" t="n">
        <f aca="false">ROUND(B8*'Optimistic Assumptions'!$B$5+B9*'Optimistic Assumptions'!$B$6+B10*'Optimistic Assumptions'!$B$7,0)</f>
        <v>136247</v>
      </c>
      <c r="C15" s="113" t="n">
        <f aca="false">ROUND(C8*'Optimistic Assumptions'!$B$5+C9*'Optimistic Assumptions'!$B$6+C10*'Optimistic Assumptions'!$B$7,0)</f>
        <v>569923</v>
      </c>
      <c r="D15" s="113" t="n">
        <f aca="false">ROUND(D8*'Optimistic Assumptions'!$B$5+D10*'Optimistic Assumptions'!$B$7,0)</f>
        <v>1885113</v>
      </c>
      <c r="E15" s="114" t="n">
        <f aca="false">IFERROR((B15-'Realistic P&amp;L'!B15)/ABS('Realistic P&amp;L'!B15),"-")</f>
        <v>0.770430240264044</v>
      </c>
      <c r="F15" s="114" t="n">
        <f aca="false">IFERROR((D15-'Realistic P&amp;L'!D15)/ABS('Realistic P&amp;L'!D15),"-")</f>
        <v>0.948185505748611</v>
      </c>
    </row>
    <row r="16" customFormat="false" ht="16.5" hidden="false" customHeight="true" outlineLevel="0" collapsed="false">
      <c r="A16" s="23" t="s">
        <v>349</v>
      </c>
      <c r="B16" s="115" t="n">
        <f aca="false">(B7-B11)*ROUND('Optimistic Assumptions'!$B$30/(1-'Optimistic Assumptions'!$B$9),0)</f>
        <v>52182</v>
      </c>
      <c r="C16" s="115" t="n">
        <f aca="false">(C7-C11)*ROUND('Optimistic Assumptions'!$B$30/(1-'Optimistic Assumptions'!$B$9),0)</f>
        <v>194010</v>
      </c>
      <c r="D16" s="115" t="n">
        <f aca="false">(D7-D11)*ROUND('Optimistic Assumptions'!$B$30/(1-'Optimistic Assumptions'!$B$9),0)</f>
        <v>612135</v>
      </c>
      <c r="E16" s="110" t="n">
        <f aca="false">IFERROR((B16-'Realistic P&amp;L'!B16)/ABS('Realistic P&amp;L'!B16),"-")</f>
        <v>0.786259541984733</v>
      </c>
      <c r="F16" s="110" t="n">
        <f aca="false">IFERROR((D16-'Realistic P&amp;L'!D16)/ABS('Realistic P&amp;L'!D16),"-")</f>
        <v>0.929023190442727</v>
      </c>
    </row>
    <row r="17" customFormat="false" ht="16.5" hidden="false" customHeight="true" outlineLevel="0" collapsed="false">
      <c r="A17" s="49" t="s">
        <v>350</v>
      </c>
      <c r="B17" s="116" t="n">
        <f aca="false">B11*ROUND(('Optimistic Assumptions'!$B$30+'Optimistic Assumptions'!$B$31)/(1-'Optimistic Assumptions'!$B$9)*(1+'Optimistic Assumptions'!$B$13),0)</f>
        <v>9230</v>
      </c>
      <c r="C17" s="116" t="n">
        <f aca="false">C11*ROUND(('Optimistic Assumptions'!$B$30+'Optimistic Assumptions'!$B$31)/(1-'Optimistic Assumptions'!$B$9)*(1+'Optimistic Assumptions'!$B$13),0)</f>
        <v>54315</v>
      </c>
      <c r="D17" s="116" t="n">
        <f aca="false">D11*ROUND(('Optimistic Assumptions'!$B$30+'Optimistic Assumptions'!$B$31)/(1-'Optimistic Assumptions'!$B$9)*(1+'Optimistic Assumptions'!$B$13),0)</f>
        <v>214065</v>
      </c>
      <c r="E17" s="112" t="n">
        <f aca="false">IFERROR((B17-'Realistic P&amp;L'!B17)/ABS('Realistic P&amp;L'!B17),"-")</f>
        <v>0.857142857142857</v>
      </c>
      <c r="F17" s="112" t="n">
        <f aca="false">IFERROR((D17-'Realistic P&amp;L'!D17)/ABS('Realistic P&amp;L'!D17),"-")</f>
        <v>1.40239043824701</v>
      </c>
    </row>
    <row r="18" customFormat="false" ht="16.5" hidden="false" customHeight="true" outlineLevel="0" collapsed="false">
      <c r="A18" s="18" t="s">
        <v>351</v>
      </c>
      <c r="B18" s="113" t="n">
        <f aca="false">B12*ROUND('Optimistic Assumptions'!$B$30/(1-'Optimistic Assumptions'!$B$10),0)</f>
        <v>3800</v>
      </c>
      <c r="C18" s="113" t="n">
        <f aca="false">C12*ROUND('Optimistic Assumptions'!$B$30/(1-'Optimistic Assumptions'!$B$10),0)</f>
        <v>14630</v>
      </c>
      <c r="D18" s="113" t="n">
        <f aca="false">D12*ROUND('Optimistic Assumptions'!$B$30/(1-'Optimistic Assumptions'!$B$10),0)</f>
        <v>47880</v>
      </c>
      <c r="E18" s="114" t="n">
        <f aca="false">IFERROR((B18-'Realistic P&amp;L'!B18)/ABS('Realistic P&amp;L'!B18),"-")</f>
        <v>1</v>
      </c>
      <c r="F18" s="114" t="n">
        <f aca="false">IFERROR((D18-'Realistic P&amp;L'!D18)/ABS('Realistic P&amp;L'!D18),"-")</f>
        <v>1</v>
      </c>
    </row>
    <row r="19" customFormat="false" ht="16.5" hidden="false" customHeight="true" outlineLevel="0" collapsed="false">
      <c r="A19" s="23" t="s">
        <v>352</v>
      </c>
      <c r="B19" s="115" t="n">
        <f aca="false">ROUND(B6*'Optimistic Assumptions'!$B$58*'Optimistic Assumptions'!$B$14,0)</f>
        <v>140</v>
      </c>
      <c r="C19" s="115" t="n">
        <f aca="false">ROUND(C6*'Optimistic Assumptions'!$B$58*'Optimistic Assumptions'!$B$14,0)</f>
        <v>550</v>
      </c>
      <c r="D19" s="115" t="n">
        <f aca="false">ROUND(D6*'Optimistic Assumptions'!$B$58*'Optimistic Assumptions'!$B$14,0)</f>
        <v>1800</v>
      </c>
      <c r="E19" s="110" t="n">
        <f aca="false">IFERROR((B19-'Realistic P&amp;L'!B19)/ABS('Realistic P&amp;L'!B19),"-")</f>
        <v>0.772151898734177</v>
      </c>
      <c r="F19" s="110" t="n">
        <f aca="false">IFERROR((D19-'Realistic P&amp;L'!D19)/ABS('Realistic P&amp;L'!D19),"-")</f>
        <v>1</v>
      </c>
    </row>
    <row r="20" customFormat="false" ht="18.75" hidden="false" customHeight="true" outlineLevel="0" collapsed="false">
      <c r="A20" s="18" t="s">
        <v>19</v>
      </c>
      <c r="B20" s="117" t="n">
        <f aca="false">SUM(B15:B19)</f>
        <v>201599</v>
      </c>
      <c r="C20" s="117" t="n">
        <f aca="false">SUM(C15:C19)</f>
        <v>833428</v>
      </c>
      <c r="D20" s="117" t="n">
        <f aca="false">SUM(D15:D19)</f>
        <v>2760993</v>
      </c>
      <c r="E20" s="118" t="n">
        <f aca="false">IFERROR((B20-'Realistic P&amp;L'!B20)/ABS('Realistic P&amp;L'!B20),"-")</f>
        <v>0.782185132471115</v>
      </c>
      <c r="F20" s="118" t="n">
        <f aca="false">IFERROR((D20-'Realistic P&amp;L'!D20)/ABS('Realistic P&amp;L'!D20),"-")</f>
        <v>0.973690023368378</v>
      </c>
    </row>
    <row r="22" customFormat="false" ht="18" hidden="false" customHeight="true" outlineLevel="0" collapsed="false">
      <c r="A22" s="18" t="s">
        <v>353</v>
      </c>
      <c r="B22" s="36"/>
      <c r="C22" s="36"/>
      <c r="D22" s="36"/>
      <c r="E22" s="36"/>
      <c r="F22" s="36"/>
    </row>
    <row r="23" customFormat="false" ht="16.5" hidden="false" customHeight="true" outlineLevel="0" collapsed="false">
      <c r="A23" s="23" t="s">
        <v>354</v>
      </c>
      <c r="B23" s="115" t="n">
        <f aca="false">B6*'Optimistic Assumptions'!$B$30+B11*'Optimistic Assumptions'!$B$31</f>
        <v>46876</v>
      </c>
      <c r="C23" s="115" t="n">
        <f aca="false">C6*'Optimistic Assumptions'!$B$30+C11*'Optimistic Assumptions'!$B$31</f>
        <v>185478</v>
      </c>
      <c r="D23" s="115" t="n">
        <f aca="false">D6*'Optimistic Assumptions'!$B$30+D11*'Optimistic Assumptions'!$B$31</f>
        <v>609678</v>
      </c>
      <c r="E23" s="110" t="n">
        <f aca="false">IFERROR((B23-'Realistic P&amp;L'!B23)/ABS('Realistic P&amp;L'!B23),"-")</f>
        <v>0.807162959250549</v>
      </c>
      <c r="F23" s="110" t="n">
        <f aca="false">IFERROR((D23-'Realistic P&amp;L'!D23)/ABS('Realistic P&amp;L'!D23),"-")</f>
        <v>1.0086516476348</v>
      </c>
    </row>
    <row r="24" customFormat="false" ht="16.5" hidden="false" customHeight="true" outlineLevel="0" collapsed="false">
      <c r="A24" s="18" t="s">
        <v>306</v>
      </c>
      <c r="B24" s="113" t="n">
        <v>0</v>
      </c>
      <c r="C24" s="113" t="n">
        <v>0</v>
      </c>
      <c r="D24" s="113" t="n">
        <v>0</v>
      </c>
      <c r="E24" s="114" t="n">
        <f aca="false">IFERROR((B24-'Realistic P&amp;L'!B24)/ABS('Realistic P&amp;L'!B24),"-")</f>
        <v>-1</v>
      </c>
      <c r="F24" s="114" t="str">
        <f aca="false">IFERROR((D24-'Realistic P&amp;L'!D24)/ABS('Realistic P&amp;L'!D24),"-")</f>
        <v>-</v>
      </c>
    </row>
    <row r="25" customFormat="false" ht="16.5" hidden="false" customHeight="true" outlineLevel="0" collapsed="false">
      <c r="A25" s="23" t="s">
        <v>308</v>
      </c>
      <c r="B25" s="115" t="n">
        <f aca="false">B7*'Optimistic Assumptions'!$B$27</f>
        <v>520</v>
      </c>
      <c r="C25" s="115" t="n">
        <f aca="false">C7*'Optimistic Assumptions'!$B$27</f>
        <v>2046</v>
      </c>
      <c r="D25" s="115" t="n">
        <f aca="false">D7*'Optimistic Assumptions'!$B$27</f>
        <v>6696</v>
      </c>
      <c r="E25" s="110" t="n">
        <f aca="false">IFERROR((B25-'Realistic P&amp;L'!B25)/ABS('Realistic P&amp;L'!B25),"-")</f>
        <v>0.793103448275862</v>
      </c>
      <c r="F25" s="110" t="n">
        <f aca="false">IFERROR((D25-'Realistic P&amp;L'!D25)/ABS('Realistic P&amp;L'!D25),"-")</f>
        <v>1</v>
      </c>
    </row>
    <row r="26" customFormat="false" ht="16.5" hidden="false" customHeight="true" outlineLevel="0" collapsed="false">
      <c r="A26" s="49" t="s">
        <v>355</v>
      </c>
      <c r="B26" s="116" t="n">
        <f aca="false">B7*'Optimistic Assumptions'!$B$28</f>
        <v>260</v>
      </c>
      <c r="C26" s="116" t="n">
        <f aca="false">C7*'Optimistic Assumptions'!$B$28</f>
        <v>1023</v>
      </c>
      <c r="D26" s="116" t="n">
        <f aca="false">D7*'Optimistic Assumptions'!$B$28</f>
        <v>3348</v>
      </c>
      <c r="E26" s="112" t="n">
        <f aca="false">IFERROR((B26-'Realistic P&amp;L'!B26)/ABS('Realistic P&amp;L'!B26),"-")</f>
        <v>0.793103448275862</v>
      </c>
      <c r="F26" s="112" t="n">
        <f aca="false">IFERROR((D26-'Realistic P&amp;L'!D26)/ABS('Realistic P&amp;L'!D26),"-")</f>
        <v>1</v>
      </c>
    </row>
    <row r="27" customFormat="false" ht="16.5" hidden="false" customHeight="true" outlineLevel="0" collapsed="false">
      <c r="A27" s="23" t="s">
        <v>310</v>
      </c>
      <c r="B27" s="115" t="n">
        <f aca="false">B7*'Optimistic Assumptions'!$B$29</f>
        <v>0</v>
      </c>
      <c r="C27" s="115" t="n">
        <f aca="false">C7*'Optimistic Assumptions'!$B$29</f>
        <v>0</v>
      </c>
      <c r="D27" s="115" t="n">
        <f aca="false">D7*'Optimistic Assumptions'!$B$29</f>
        <v>0</v>
      </c>
      <c r="E27" s="110" t="str">
        <f aca="false">IFERROR((B27-'Realistic P&amp;L'!B27)/ABS('Realistic P&amp;L'!B27),"-")</f>
        <v>-</v>
      </c>
      <c r="F27" s="110" t="str">
        <f aca="false">IFERROR((D27-'Realistic P&amp;L'!D27)/ABS('Realistic P&amp;L'!D27),"-")</f>
        <v>-</v>
      </c>
    </row>
    <row r="28" customFormat="false" ht="16.5" hidden="false" customHeight="true" outlineLevel="0" collapsed="false">
      <c r="A28" s="49" t="s">
        <v>356</v>
      </c>
      <c r="B28" s="116" t="n">
        <f aca="false">B20*'Optimistic Assumptions'!$B$32+B6*2*'Optimistic Assumptions'!$B$33</f>
        <v>3191.985</v>
      </c>
      <c r="C28" s="116" t="n">
        <f aca="false">C20*'Optimistic Assumptions'!$B$32+C6*2*'Optimistic Assumptions'!$B$33</f>
        <v>13161.42</v>
      </c>
      <c r="D28" s="116" t="n">
        <f aca="false">D20*'Optimistic Assumptions'!$B$32+D6*2*'Optimistic Assumptions'!$B$33</f>
        <v>43574.895</v>
      </c>
      <c r="E28" s="112" t="n">
        <f aca="false">IFERROR((B28-'Realistic P&amp;L'!B28)/ABS('Realistic P&amp;L'!B28),"-")</f>
        <v>0.783446056369899</v>
      </c>
      <c r="F28" s="112" t="n">
        <f aca="false">IFERROR((D28-'Realistic P&amp;L'!D28)/ABS('Realistic P&amp;L'!D28),"-")</f>
        <v>0.974977887672777</v>
      </c>
    </row>
    <row r="29" customFormat="false" ht="18.75" hidden="false" customHeight="true" outlineLevel="0" collapsed="false">
      <c r="A29" s="18" t="s">
        <v>357</v>
      </c>
      <c r="B29" s="117" t="n">
        <f aca="false">SUM(B23:B28)</f>
        <v>50847.985</v>
      </c>
      <c r="C29" s="117" t="n">
        <f aca="false">SUM(C23:C28)</f>
        <v>201708.42</v>
      </c>
      <c r="D29" s="117" t="n">
        <f aca="false">SUM(D23:D28)</f>
        <v>663296.895</v>
      </c>
      <c r="E29" s="118" t="n">
        <f aca="false">IFERROR((B29-'Realistic P&amp;L'!B29)/ABS('Realistic P&amp;L'!B29),"-")</f>
        <v>-0.286131512702344</v>
      </c>
      <c r="F29" s="118" t="n">
        <f aca="false">IFERROR((D29-'Realistic P&amp;L'!D29)/ABS('Realistic P&amp;L'!D29),"-")</f>
        <v>1.00627299744291</v>
      </c>
    </row>
    <row r="30" customFormat="false" ht="18.75" hidden="false" customHeight="true" outlineLevel="0" collapsed="false">
      <c r="A30" s="20" t="s">
        <v>11</v>
      </c>
      <c r="B30" s="87" t="n">
        <f aca="false">B20-B29</f>
        <v>150751.015</v>
      </c>
      <c r="C30" s="87" t="n">
        <f aca="false">C20-C29</f>
        <v>631719.58</v>
      </c>
      <c r="D30" s="87" t="n">
        <f aca="false">D20-D29</f>
        <v>2097696.105</v>
      </c>
      <c r="E30" s="88" t="n">
        <f aca="false">IFERROR((B30-'Realistic P&amp;L'!B30)/ABS('Realistic P&amp;L'!B30),"-")</f>
        <v>2.59871666927468</v>
      </c>
      <c r="F30" s="88" t="n">
        <f aca="false">IFERROR((D30-'Realistic P&amp;L'!D30)/ABS('Realistic P&amp;L'!D30),"-")</f>
        <v>0.963606309674039</v>
      </c>
    </row>
    <row r="31" customFormat="false" ht="18.75" hidden="false" customHeight="true" outlineLevel="0" collapsed="false">
      <c r="A31" s="20" t="s">
        <v>358</v>
      </c>
      <c r="B31" s="88" t="n">
        <f aca="false">IFERROR(B30/B20,0)</f>
        <v>0.74777660107441</v>
      </c>
      <c r="C31" s="88" t="n">
        <f aca="false">IFERROR(C30/C20,0)</f>
        <v>0.757977389768522</v>
      </c>
      <c r="D31" s="88" t="n">
        <f aca="false">IFERROR(D30/D20,0)</f>
        <v>0.759761471687904</v>
      </c>
      <c r="E31" s="88" t="n">
        <f aca="false">IFERROR((B31-'Realistic P&amp;L'!B31)/ABS('Realistic P&amp;L'!B31),"-")</f>
        <v>1.01927207432419</v>
      </c>
      <c r="F31" s="88" t="n">
        <f aca="false">IFERROR((D31-'Realistic P&amp;L'!D31)/ABS('Realistic P&amp;L'!D31),"-")</f>
        <v>-0.00510906655804513</v>
      </c>
    </row>
    <row r="33" customFormat="false" ht="18" hidden="false" customHeight="true" outlineLevel="0" collapsed="false">
      <c r="A33" s="18" t="s">
        <v>359</v>
      </c>
      <c r="B33" s="36"/>
      <c r="C33" s="36"/>
      <c r="D33" s="36"/>
      <c r="E33" s="36"/>
      <c r="F33" s="36"/>
    </row>
    <row r="34" customFormat="false" ht="16.5" hidden="false" customHeight="true" outlineLevel="0" collapsed="false">
      <c r="A34" s="23" t="s">
        <v>360</v>
      </c>
      <c r="B34" s="115" t="n">
        <f aca="false">'Optimistic Assumptions'!$B$61</f>
        <v>1800</v>
      </c>
      <c r="C34" s="115" t="n">
        <f aca="false">'Optimistic Assumptions'!$B$62</f>
        <v>4800</v>
      </c>
      <c r="D34" s="115" t="n">
        <f aca="false">'Optimistic Assumptions'!$B$63</f>
        <v>10000</v>
      </c>
      <c r="E34" s="110" t="n">
        <f aca="false">IFERROR((B34-'Realistic P&amp;L'!B34)/ABS('Realistic P&amp;L'!B34),"-")</f>
        <v>0</v>
      </c>
      <c r="F34" s="110" t="n">
        <f aca="false">IFERROR((D34-'Realistic P&amp;L'!D34)/ABS('Realistic P&amp;L'!D34),"-")</f>
        <v>0.666666666666667</v>
      </c>
    </row>
    <row r="35" customFormat="false" ht="16.5" hidden="false" customHeight="true" outlineLevel="0" collapsed="false">
      <c r="A35" s="49" t="s">
        <v>361</v>
      </c>
      <c r="B35" s="116" t="n">
        <v>1310</v>
      </c>
      <c r="C35" s="116" t="n">
        <v>1510</v>
      </c>
      <c r="D35" s="116" t="n">
        <v>2160</v>
      </c>
      <c r="E35" s="112" t="n">
        <f aca="false">IFERROR((B35-'Realistic P&amp;L'!B35)/ABS('Realistic P&amp;L'!B35),"-")</f>
        <v>0.129310344827586</v>
      </c>
      <c r="F35" s="112" t="n">
        <f aca="false">IFERROR((D35-'Realistic P&amp;L'!D35)/ABS('Realistic P&amp;L'!D35),"-")</f>
        <v>0.193370165745856</v>
      </c>
    </row>
    <row r="36" customFormat="false" ht="16.5" hidden="false" customHeight="true" outlineLevel="0" collapsed="false">
      <c r="A36" s="23" t="s">
        <v>362</v>
      </c>
      <c r="B36" s="115" t="n">
        <f aca="false">'Optimistic Assumptions'!$B$66</f>
        <v>3300</v>
      </c>
      <c r="C36" s="115" t="n">
        <v>1700</v>
      </c>
      <c r="D36" s="115" t="n">
        <v>2500</v>
      </c>
      <c r="E36" s="110" t="n">
        <f aca="false">IFERROR((B36-'Realistic P&amp;L'!B36)/ABS('Realistic P&amp;L'!B36),"-")</f>
        <v>0</v>
      </c>
      <c r="F36" s="110" t="n">
        <f aca="false">IFERROR((D36-'Realistic P&amp;L'!D36)/ABS('Realistic P&amp;L'!D36),"-")</f>
        <v>0</v>
      </c>
    </row>
    <row r="37" customFormat="false" ht="16.5" hidden="false" customHeight="true" outlineLevel="0" collapsed="false">
      <c r="A37" s="75" t="s">
        <v>363</v>
      </c>
      <c r="B37" s="86" t="n">
        <f aca="false">'Optimistic Assumptions'!$B$69</f>
        <v>500</v>
      </c>
      <c r="C37" s="86" t="n">
        <f aca="false">'Optimistic Assumptions'!$B$69</f>
        <v>500</v>
      </c>
      <c r="D37" s="86" t="n">
        <f aca="false">'Optimistic Assumptions'!$B$69+200</f>
        <v>700</v>
      </c>
      <c r="E37" s="86" t="n">
        <f aca="false">IFERROR((B37-'Realistic P&amp;L'!B37)/ABS('Realistic P&amp;L'!B37),"-")</f>
        <v>0</v>
      </c>
      <c r="F37" s="86" t="n">
        <f aca="false">IFERROR((D37-'Realistic P&amp;L'!D37)/ABS('Realistic P&amp;L'!D37),"-")</f>
        <v>0</v>
      </c>
    </row>
    <row r="38" customFormat="false" ht="16.5" hidden="false" customHeight="true" outlineLevel="0" collapsed="false">
      <c r="A38" s="12" t="s">
        <v>364</v>
      </c>
      <c r="B38" s="93" t="n">
        <f aca="false">'Optimistic Assumptions'!$B$70</f>
        <v>24000</v>
      </c>
      <c r="C38" s="93" t="n">
        <f aca="false">'Optimistic Assumptions'!$B$71</f>
        <v>100000</v>
      </c>
      <c r="D38" s="93" t="n">
        <f aca="false">'Optimistic Assumptions'!$B$72</f>
        <v>331500</v>
      </c>
      <c r="E38" s="82" t="n">
        <f aca="false">IFERROR((B38-'Realistic P&amp;L'!B38)/ABS('Realistic P&amp;L'!B38),"-")</f>
        <v>0.777777777777778</v>
      </c>
      <c r="F38" s="82" t="n">
        <f aca="false">IFERROR((D38-'Realistic P&amp;L'!D38)/ABS('Realistic P&amp;L'!D38),"-")</f>
        <v>0.973214285714286</v>
      </c>
    </row>
    <row r="39" customFormat="false" ht="18.75" hidden="false" customHeight="true" outlineLevel="0" collapsed="false">
      <c r="A39" s="49" t="s">
        <v>450</v>
      </c>
      <c r="B39" s="116" t="n">
        <v>0</v>
      </c>
      <c r="C39" s="116" t="n">
        <f aca="false">'Optimistic Assumptions'!$B$67</f>
        <v>6000</v>
      </c>
      <c r="D39" s="116" t="n">
        <v>0</v>
      </c>
      <c r="E39" s="112" t="n">
        <f aca="false">IFERROR((B37-'Realistic P&amp;L'!B37)/ABS('Realistic P&amp;L'!B37),"-")</f>
        <v>0</v>
      </c>
      <c r="F39" s="112" t="n">
        <f aca="false">IFERROR((D37-'Realistic P&amp;L'!D37)/ABS('Realistic P&amp;L'!D37),"-")</f>
        <v>0</v>
      </c>
    </row>
    <row r="40" customFormat="false" ht="15" hidden="false" customHeight="true" outlineLevel="0" collapsed="false">
      <c r="A40" s="23" t="s">
        <v>368</v>
      </c>
      <c r="B40" s="115" t="n">
        <v>88750</v>
      </c>
      <c r="C40" s="115" t="n">
        <v>175000</v>
      </c>
      <c r="D40" s="115" t="n">
        <v>527500</v>
      </c>
      <c r="E40" s="110" t="n">
        <f aca="false">IFERROR((B38-'Realistic P&amp;L'!B38)/ABS('Realistic P&amp;L'!B38),"-")</f>
        <v>0.777777777777778</v>
      </c>
      <c r="F40" s="110" t="n">
        <f aca="false">IFERROR((D38-'Realistic P&amp;L'!D38)/ABS('Realistic P&amp;L'!D38),"-")</f>
        <v>0.973214285714286</v>
      </c>
    </row>
    <row r="41" customFormat="false" ht="21.75" hidden="false" customHeight="true" outlineLevel="0" collapsed="false">
      <c r="A41" s="18" t="s">
        <v>369</v>
      </c>
      <c r="B41" s="117" t="n">
        <f aca="false">SUM(B34:B40)+'Realistic Assumptions'!$B$71</f>
        <v>121400</v>
      </c>
      <c r="C41" s="117" t="n">
        <f aca="false">SUM(C34:C40)+'Realistic Assumptions'!$B$71</f>
        <v>291250</v>
      </c>
      <c r="D41" s="117" t="n">
        <f aca="false">SUM(D34:D40)+'Realistic Assumptions'!$B$71+260</f>
        <v>876360</v>
      </c>
      <c r="E41" s="118" t="n">
        <f aca="false">IFERROR((B41-'Realistic P&amp;L'!B40)/ABS('Realistic P&amp;L'!B40),"-")</f>
        <v>4.51818181818182</v>
      </c>
      <c r="F41" s="118" t="n">
        <f aca="false">IFERROR((D41-'Realistic P&amp;L'!D40)/ABS('Realistic P&amp;L'!D40),"-")</f>
        <v>0.970411008184189</v>
      </c>
    </row>
    <row r="42" customFormat="false" ht="16.5" hidden="false" customHeight="true" outlineLevel="0" collapsed="false">
      <c r="A42" s="35" t="s">
        <v>406</v>
      </c>
    </row>
    <row r="43" customFormat="false" ht="15" hidden="false" customHeight="true" outlineLevel="0" collapsed="false">
      <c r="A43" s="20" t="s">
        <v>13</v>
      </c>
      <c r="B43" s="87" t="n">
        <f aca="false">B30-B41</f>
        <v>29351.015</v>
      </c>
      <c r="C43" s="87" t="n">
        <f aca="false">C30-C41</f>
        <v>340469.58</v>
      </c>
      <c r="D43" s="87" t="n">
        <f aca="false">D30-D41</f>
        <v>1221336.105</v>
      </c>
      <c r="E43" s="88" t="n">
        <f aca="false">IFERROR((B43-'Realistic P&amp;L'!B42)/ABS('Realistic P&amp;L'!B42),"-")</f>
        <v>0.475650967070995</v>
      </c>
      <c r="F43" s="88" t="n">
        <f aca="false">IFERROR((D43-'Realistic P&amp;L'!D42)/ABS('Realistic P&amp;L'!D42),"-")</f>
        <v>0.958752541978841</v>
      </c>
    </row>
    <row r="44" customFormat="false" ht="18" hidden="false" customHeight="true" outlineLevel="0" collapsed="false">
      <c r="A44" s="20" t="s">
        <v>370</v>
      </c>
      <c r="B44" s="88" t="n">
        <f aca="false">IFERROR(B43/B20,0)</f>
        <v>0.145591074360488</v>
      </c>
      <c r="C44" s="88" t="n">
        <f aca="false">IFERROR(C43/C20,0)</f>
        <v>0.408517088458751</v>
      </c>
      <c r="D44" s="88" t="n">
        <f aca="false">IFERROR(D43/D20,0)</f>
        <v>0.44235393027074</v>
      </c>
      <c r="E44" s="10"/>
      <c r="F44" s="10"/>
    </row>
    <row r="45" customFormat="false" ht="16.5" hidden="false" customHeight="true" outlineLevel="0" collapsed="false"/>
    <row r="46" customFormat="false" ht="16.5" hidden="false" customHeight="true" outlineLevel="0" collapsed="false">
      <c r="A46" s="18" t="s">
        <v>407</v>
      </c>
      <c r="B46" s="36"/>
      <c r="C46" s="36"/>
      <c r="D46" s="36"/>
      <c r="E46" s="36"/>
      <c r="F46" s="36"/>
    </row>
    <row r="47" customFormat="false" ht="16.5" hidden="false" customHeight="true" outlineLevel="0" collapsed="false">
      <c r="A47" s="18" t="s">
        <v>451</v>
      </c>
      <c r="B47" s="113" t="n">
        <f aca="false">IFERROR(B20/B7,0)</f>
        <v>775.380769230769</v>
      </c>
      <c r="C47" s="113" t="n">
        <f aca="false">IFERROR(C20/C7,0)</f>
        <v>814.690127077224</v>
      </c>
      <c r="D47" s="113" t="n">
        <f aca="false">IFERROR(D20/D7,0)</f>
        <v>824.66935483871</v>
      </c>
      <c r="E47" s="114" t="n">
        <f aca="false">IFERROR((B47-'Realistic P&amp;L'!B46)/ABS('Realistic P&amp;L'!B46),"-")</f>
        <v>-0.00608906073726307</v>
      </c>
      <c r="F47" s="114" t="n">
        <f aca="false">IFERROR((D47-'Realistic P&amp;L'!D46)/ABS('Realistic P&amp;L'!D46),"-")</f>
        <v>-0.0131549883158112</v>
      </c>
    </row>
    <row r="48" customFormat="false" ht="15" hidden="false" customHeight="true" outlineLevel="0" collapsed="false">
      <c r="A48" s="23" t="s">
        <v>410</v>
      </c>
      <c r="B48" s="110" t="n">
        <f aca="false">'Optimistic Assumptions'!$B$52</f>
        <v>0.25</v>
      </c>
      <c r="C48" s="110" t="n">
        <f aca="false">'Optimistic Assumptions'!$B$53</f>
        <v>0.45</v>
      </c>
      <c r="D48" s="110" t="n">
        <f aca="false">'Optimistic Assumptions'!$B$54</f>
        <v>0.6</v>
      </c>
      <c r="E48" s="110" t="n">
        <f aca="false">IFERROR((B48-'Realistic P&amp;L'!B48)/ABS('Realistic P&amp;L'!B48),"-")</f>
        <v>0.666666666666667</v>
      </c>
      <c r="F48" s="110" t="n">
        <f aca="false">IFERROR((D48-'Realistic P&amp;L'!D48)/ABS('Realistic P&amp;L'!D48),"-")</f>
        <v>0.714285714285714</v>
      </c>
    </row>
    <row r="49" customFormat="false" ht="15" hidden="false" customHeight="true" outlineLevel="0" collapsed="false">
      <c r="A49" s="49" t="s">
        <v>452</v>
      </c>
      <c r="B49" s="116" t="n">
        <f aca="false">B43-'Realistic P&amp;L'!B42</f>
        <v>9460.80000000002</v>
      </c>
      <c r="C49" s="116" t="n">
        <f aca="false">C43-'Realistic P&amp;L'!C42</f>
        <v>143816.79</v>
      </c>
      <c r="D49" s="116" t="n">
        <f aca="false">D43-'Realistic P&amp;L'!D42</f>
        <v>597808.59</v>
      </c>
      <c r="E49" s="112" t="n">
        <f aca="false">IFERROR((B47-'Realistic P&amp;L'!B47)/ABS('Realistic P&amp;L'!B47),"-")</f>
        <v>1.68392538778952</v>
      </c>
      <c r="F49" s="112" t="n">
        <f aca="false">IFERROR((D47-'Realistic P&amp;L'!D47)/ABS('Realistic P&amp;L'!D47),"-")</f>
        <v>0.292251833533784</v>
      </c>
    </row>
    <row r="50" customFormat="false" ht="15" hidden="false" customHeight="true" outlineLevel="0" collapsed="false">
      <c r="A50" s="35" t="s">
        <v>453</v>
      </c>
    </row>
    <row r="51" customFormat="false" ht="15" hidden="false" customHeight="true" outlineLevel="0" collapsed="false">
      <c r="A51" s="35" t="s">
        <v>454</v>
      </c>
    </row>
    <row r="52" customFormat="false" ht="15" hidden="false" customHeight="true" outlineLevel="0" collapsed="false">
      <c r="A52" s="35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2026-02-24T09:49:32Z</dcterms:created>
  <dc:creator>openpyxl</dc:creator>
  <dc:description/>
  <dc:language>en-US</dc:language>
  <cp:lastModifiedBy>Middleton, Andy</cp:lastModifiedBy>
  <dcterms:modified xsi:type="dcterms:W3CDTF">2026-02-26T13:03:00Z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